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0aff0fc3f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fc3b9871bf404789"/>
    <x:sheet xmlns:r="http://schemas.openxmlformats.org/officeDocument/2006/relationships" name="Тест-кейсы" sheetId="2" r:id="Rd6d7734f010d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0"/>
      <x:color rgb="FFFFFFFF"/>
      <x:name val="Carlito"/>
    </x:font>
    <x:font>
      <x:b/>
      <x:sz val="12"/>
      <x:color rgb="FF17324D"/>
      <x:name val="Carlito"/>
    </x:font>
    <x:font>
      <x:sz val="10"/>
      <x:name val="Carlito"/>
    </x:font>
    <x:font>
      <x:sz val="9"/>
      <x:name val="Carlito"/>
    </x:font>
    <x:font>
      <x:sz val="10"/>
      <x:color rgb="FF7A2E0E"/>
      <x:name val="Carlito"/>
    </x:font>
    <x:font>
      <x:sz val="9"/>
      <x:color rgb="FF1D2939"/>
      <x:name val="Carlito"/>
    </x:font>
    <x:font>
      <x:b/>
      <x:sz val="9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2878B5"/>
      </x:patternFill>
    </x:fill>
    <x:fill>
      <x:patternFill patternType="solid">
        <x:fgColor rgb="FFF5F8FA"/>
      </x:patternFill>
    </x:fill>
    <x:fill>
      <x:patternFill patternType="solid">
        <x:fgColor rgb="FFFFF2CC"/>
      </x:patternFill>
    </x:fill>
  </x:fills>
  <x:borders count="12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E5B800"/>
      </x:left>
      <x:top style="thin">
        <x:color rgb="FFE5B800"/>
      </x:top>
    </x:border>
    <x:border>
      <x:top style="thin">
        <x:color rgb="FFE5B800"/>
      </x:top>
    </x:border>
    <x:border>
      <x:right style="thin">
        <x:color rgb="FFE5B800"/>
      </x:right>
      <x:top style="thin">
        <x:color rgb="FFE5B800"/>
      </x:top>
    </x:border>
    <x:border>
      <x:left style="thin">
        <x:color rgb="FFE5B800"/>
      </x:left>
    </x:border>
    <x:border>
      <x:right style="thin">
        <x:color rgb="FFE5B800"/>
      </x:right>
    </x:border>
    <x:border>
      <x:left style="thin">
        <x:color rgb="FFE5B800"/>
      </x:left>
      <x:bottom style="thin">
        <x:color rgb="FFE5B800"/>
      </x:bottom>
    </x:border>
    <x:border>
      <x:bottom style="thin">
        <x:color rgb="FFE5B800"/>
      </x:bottom>
    </x:border>
    <x:border>
      <x:right style="thin">
        <x:color rgb="FFE5B800"/>
      </x:right>
      <x:bottom style="thin">
        <x:color rgb="FFE5B80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8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a0632586d4123" /><Relationship Type="http://schemas.openxmlformats.org/officeDocument/2006/relationships/theme" Target="/xl/theme/theme1.xml" Id="Rd930a652d79e4017" /><Relationship Type="http://schemas.openxmlformats.org/officeDocument/2006/relationships/sharedStrings" Target="/xl/sharedStrings.xml" Id="R56896c034209448b" /><Relationship Type="http://schemas.openxmlformats.org/officeDocument/2006/relationships/worksheet" Target="/xl/worksheets/sheet1.xml" Id="Rfc3b9871bf404789" /><Relationship Type="http://schemas.openxmlformats.org/officeDocument/2006/relationships/worksheet" Target="/xl/worksheets/sheet2.xml" Id="Rd6d7734f010d4fde" /></Relationships>
</file>

<file path=xl/tables/table1.xml><?xml version="1.0" encoding="utf-8"?>
<x:table xmlns:x="http://schemas.openxmlformats.org/spreadsheetml/2006/main" id="1" name="TestCasesTable" displayName="TestCasesTable" ref="A4:L54" headerRowCount="1" totalsRowCount="0" totalsRowShown="0">
  <x:tableColumns count="12">
    <x:tableColumn id="1" name="ID"/>
    <x:tableColumn id="2" name="Тип"/>
    <x:tableColumn id="3" name="Эндпоинт"/>
    <x:tableColumn id="4" name="Название"/>
    <x:tableColumn id="5" name="Предусловия и шаги"/>
    <x:tableColumn id="6" name="Тестовые данные"/>
    <x:tableColumn id="7" name="Ожидаемый результат"/>
    <x:tableColumn id="8" name="Фактический результат"/>
    <x:tableColumn id="9" name="Статус"/>
    <x:tableColumn id="10" name="Приоритет"/>
    <x:tableColumn id="11" name="Postman item"/>
    <x:tableColumn id="12" name="Источни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36386a06994e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27" hidden="0" customWidth="1"/>
    <x:col min="5" max="5" width="12" hidden="0" customWidth="1"/>
    <x:col min="6" max="6" width="4" hidden="0" customWidth="1"/>
    <x:col min="7" max="7" width="22" hidden="0" customWidth="1"/>
    <x:col min="8" max="8" width="54" hidden="0" customWidth="1"/>
  </x:cols>
  <x:sheetData>
    <x:row r="1" ht="32" customHeight="1">
      <x:c r="A1" s="3" t="str">
        <x:v>RESTful Booker — тестовое покрытие</x:v>
      </x:c>
      <x:c r="B1" s="3" t="str">
        <x:v>RESTful Booker — тестовое покрытие</x:v>
      </x:c>
      <x:c r="C1" s="3" t="str">
        <x:v>RESTful Booker — тестовое покрытие</x:v>
      </x:c>
      <x:c r="D1" s="3" t="str">
        <x:v>RESTful Booker — тестовое покрытие</x:v>
      </x:c>
      <x:c r="E1" s="3" t="str">
        <x:v>RESTful Booker — тестовое покрытие</x:v>
      </x:c>
      <x:c r="F1" s="3" t="str">
        <x:v>RESTful Booker — тестовое покрытие</x:v>
      </x:c>
      <x:c r="G1" s="3" t="str">
        <x:v>RESTful Booker — тестовое покрытие</x:v>
      </x:c>
      <x:c r="H1" s="3" t="str">
        <x:v>RESTful Booker — тестовое покрытие</x:v>
      </x:c>
    </x:row>
    <x:row r="2" ht="34" customHeight="1">
      <x:c r="A2" s="7" t="str">
        <x:v>50 позитивных и негативных тест-кейсов; живая сверка 2026-08-24T15:36:42.700Z</x:v>
      </x:c>
      <x:c r="B2" s="7" t="str">
        <x:v>50 позитивных и негативных тест-кейсов; живая сверка 2026-08-24T15:36:42.700Z</x:v>
      </x:c>
      <x:c r="C2" s="7" t="str">
        <x:v>50 позитивных и негативных тест-кейсов; живая сверка 2026-08-24T15:36:42.700Z</x:v>
      </x:c>
      <x:c r="D2" s="7" t="str">
        <x:v>50 позитивных и негативных тест-кейсов; живая сверка 2026-08-24T15:36:42.700Z</x:v>
      </x:c>
      <x:c r="E2" s="7" t="str">
        <x:v>50 позитивных и негативных тест-кейсов; живая сверка 2026-08-24T15:36:42.700Z</x:v>
      </x:c>
      <x:c r="F2" s="7" t="str">
        <x:v>50 позитивных и негативных тест-кейсов; живая сверка 2026-08-24T15:36:42.700Z</x:v>
      </x:c>
      <x:c r="G2" s="7" t="str">
        <x:v>50 позитивных и негативных тест-кейсов; живая сверка 2026-08-24T15:36:42.700Z</x:v>
      </x:c>
      <x:c r="H2" s="7" t="str">
        <x:v>50 позитивных и негативных тест-кейсов; живая сверка 2026-08-24T15:36:42.700Z</x:v>
      </x:c>
    </x:row>
    <x:row r="4" ht="32" customHeight="1">
      <x:c r="A4" s="11" t="str">
        <x:v>Метрика</x:v>
      </x:c>
      <x:c r="B4" s="11" t="str">
        <x:v>Значение</x:v>
      </x:c>
      <x:c r="D4" s="11" t="str">
        <x:v>Область</x:v>
      </x:c>
      <x:c r="E4" s="11" t="str">
        <x:v>Тестов</x:v>
      </x:c>
      <x:c r="G4" s="11" t="str">
        <x:v>Проверяемые источники</x:v>
      </x:c>
      <x:c r="H4" s="11" t="str">
        <x:v>URL</x:v>
      </x:c>
    </x:row>
    <x:row r="5">
      <x:c r="A5" s="13" t="str">
        <x:v>Всего тест-кейсов</x:v>
      </x:c>
      <x:c r="B5" s="16" t="n">
        <x:f>COUNTA('Тест-кейсы'!$A$5:$A$54)</x:f>
        <x:v>50</x:v>
      </x:c>
      <x:c r="D5" s="20" t="str">
        <x:v>POST /auth</x:v>
      </x:c>
      <x:c r="E5" s="20" t="n">
        <x:f>COUNTIF('Тест-кейсы'!$A$5:$A$54,"TC-AUTH-001")+COUNTIF('Тест-кейсы'!$A$5:$A$54,"TC-AUTH-002")+COUNTIF('Тест-кейсы'!$A$5:$A$54,"TC-AUTH-003")+COUNTIF('Тест-кейсы'!$A$5:$A$54,"TC-AUTH-004")</x:f>
        <x:v>4</x:v>
      </x:c>
      <x:c r="G5" s="27" t="str">
        <x:v>Документация API</x:v>
      </x:c>
      <x:c r="H5" s="27" t="str">
        <x:v>https://restful-booker.herokuapp.com/apidoc/index.html</x:v>
      </x:c>
    </x:row>
    <x:row r="6">
      <x:c r="A6" s="14" t="str">
        <x:v>Позитивных</x:v>
      </x:c>
      <x:c r="B6" s="17" t="n">
        <x:f>COUNTIF('Тест-кейсы'!$B$5:$B$54,"Позитивный")</x:f>
        <x:v>23</x:v>
      </x:c>
      <x:c r="D6" s="21" t="str">
        <x:v>POST /booking</x:v>
      </x:c>
      <x:c r="E6" s="21" t="n">
        <x:f>COUNTIF('Тест-кейсы'!$A$5:$A$54,"TC-POST-001")+COUNTIF('Тест-кейсы'!$A$5:$A$54,"TC-POST-002")+COUNTIF('Тест-кейсы'!$A$5:$A$54,"TC-POST-003")+COUNTIF('Тест-кейсы'!$A$5:$A$54,"TC-POST-004")+COUNTIF('Тест-кейсы'!$A$5:$A$54,"TC-POST-005")+COUNTIF('Тест-кейсы'!$A$5:$A$54,"TC-POST-006")+COUNTIF('Тест-кейсы'!$A$5:$A$54,"TC-POST-007")</x:f>
        <x:v>7</x:v>
      </x:c>
      <x:c r="G6" s="28" t="str">
        <x:v>Данные контракта</x:v>
      </x:c>
      <x:c r="H6" s="28" t="str">
        <x:v>https://restful-booker.herokuapp.com/apidoc/api_data.json</x:v>
      </x:c>
    </x:row>
    <x:row r="7">
      <x:c r="A7" s="14" t="str">
        <x:v>Негативных</x:v>
      </x:c>
      <x:c r="B7" s="17" t="n">
        <x:f>COUNTIF('Тест-кейсы'!$B$5:$B$54,"Негативный")</x:f>
        <x:v>27</x:v>
      </x:c>
      <x:c r="D7" s="21" t="str">
        <x:v>GET /booking + filters</x:v>
      </x:c>
      <x:c r="E7" s="21" t="n">
        <x:f>COUNTIF('Тест-кейсы'!$A$5:$A$54,"TC-FLTR-001")+COUNTIF('Тест-кейсы'!$A$5:$A$54,"TC-FLTR-002")+COUNTIF('Тест-кейсы'!$A$5:$A$54,"TC-FLTR-003")+COUNTIF('Тест-кейсы'!$A$5:$A$54,"TC-FLTR-004")+COUNTIF('Тест-кейсы'!$A$5:$A$54,"TC-FLTR-005")+COUNTIF('Тест-кейсы'!$A$5:$A$54,"TC-FLTR-006")+COUNTIF('Тест-кейсы'!$A$5:$A$54,"TC-FLTR-007")+COUNTIF('Тест-кейсы'!$A$5:$A$54,"TC-FLTR-008")+COUNTIF('Тест-кейсы'!$A$5:$A$54,"TC-FLTR-009")+COUNTIF('Тест-кейсы'!$A$5:$A$54,"TC-FLTR-010")</x:f>
        <x:v>10</x:v>
      </x:c>
      <x:c r="G7" s="29" t="str">
        <x:v>HTTP Semantics</x:v>
      </x:c>
      <x:c r="H7" s="29" t="str">
        <x:v>https://www.rfc-editor.org/rfc/rfc9110.html</x:v>
      </x:c>
    </x:row>
    <x:row r="8">
      <x:c r="A8" s="14" t="str">
        <x:v>Passed при живой сверке</x:v>
      </x:c>
      <x:c r="B8" s="17" t="n">
        <x:f>COUNTIF('Тест-кейсы'!$I$5:$I$54,"Passed")</x:f>
        <x:v>29</x:v>
      </x:c>
      <x:c r="D8" s="21" t="str">
        <x:v>GET /booking/:id</x:v>
      </x:c>
      <x:c r="E8" s="21" t="n">
        <x:f>COUNTIF('Тест-кейсы'!$A$5:$A$54,"TC-GET-001")+COUNTIF('Тест-кейсы'!$A$5:$A$54,"TC-GET-002")+COUNTIF('Тест-кейсы'!$A$5:$A$54,"TC-GET-003")+COUNTIF('Тест-кейсы'!$A$5:$A$54,"TC-GET-004")</x:f>
        <x:v>4</x:v>
      </x:c>
    </x:row>
    <x:row r="9">
      <x:c r="A9" s="15" t="str">
        <x:v>Failed — выявляют дефекты</x:v>
      </x:c>
      <x:c r="B9" s="18" t="n">
        <x:f>COUNTIF('Тест-кейсы'!$I$5:$I$54,"Failed")</x:f>
        <x:v>21</x:v>
      </x:c>
      <x:c r="D9" s="21" t="str">
        <x:v>PUT /booking/:id</x:v>
      </x:c>
      <x:c r="E9" s="21" t="n">
        <x:f>COUNTIF('Тест-кейсы'!$A$5:$A$54,"TC-PUT-001")+COUNTIF('Тест-кейсы'!$A$5:$A$54,"TC-PUT-002")+COUNTIF('Тест-кейсы'!$A$5:$A$54,"TC-PUT-003")+COUNTIF('Тест-кейсы'!$A$5:$A$54,"TC-PUT-004")+COUNTIF('Тест-кейсы'!$A$5:$A$54,"TC-PUT-005")+COUNTIF('Тест-кейсы'!$A$5:$A$54,"TC-PUT-006")+COUNTIF('Тест-кейсы'!$A$5:$A$54,"TC-PUT-007")+COUNTIF('Тест-кейсы'!$A$5:$A$54,"TC-PUT-008")</x:f>
        <x:v>8</x:v>
      </x:c>
    </x:row>
    <x:row r="10">
      <x:c r="D10" s="21" t="str">
        <x:v>PATCH /booking/:id</x:v>
      </x:c>
      <x:c r="E10" s="21" t="n">
        <x:f>COUNTIF('Тест-кейсы'!$A$5:$A$54,"TC-PATCH-001")+COUNTIF('Тест-кейсы'!$A$5:$A$54,"TC-PATCH-002")+COUNTIF('Тест-кейсы'!$A$5:$A$54,"TC-PATCH-003")+COUNTIF('Тест-кейсы'!$A$5:$A$54,"TC-PATCH-004")+COUNTIF('Тест-кейсы'!$A$5:$A$54,"TC-PATCH-005")+COUNTIF('Тест-кейсы'!$A$5:$A$54,"TC-PATCH-006")+COUNTIF('Тест-кейсы'!$A$5:$A$54,"TC-PATCH-007")+COUNTIF('Тест-кейсы'!$A$5:$A$54,"TC-PATCH-008")</x:f>
        <x:v>8</x:v>
      </x:c>
    </x:row>
    <x:row r="11">
      <x:c r="D11" s="21" t="str">
        <x:v>DELETE /booking/:id</x:v>
      </x:c>
      <x:c r="E11" s="21" t="n">
        <x:f>COUNTIF('Тест-кейсы'!$A$5:$A$54,"TC-DEL-001")+COUNTIF('Тест-кейсы'!$A$5:$A$54,"TC-DEL-002")+COUNTIF('Тест-кейсы'!$A$5:$A$54,"TC-DEL-003")+COUNTIF('Тест-кейсы'!$A$5:$A$54,"TC-DEL-004")+COUNTIF('Тест-кейсы'!$A$5:$A$54,"TC-DEL-005")+COUNTIF('Тест-кейсы'!$A$5:$A$54,"TC-DEL-006")+COUNTIF('Тест-кейсы'!$A$5:$A$54,"TC-DEL-007")</x:f>
        <x:v>7</x:v>
      </x:c>
    </x:row>
    <x:row r="12">
      <x:c r="D12" s="22" t="str">
        <x:v>GET /ping</x:v>
      </x:c>
      <x:c r="E12" s="22" t="n">
        <x:f>COUNTIF('Тест-кейсы'!$A$5:$A$54,"TC-PING-001")+COUNTIF('Тест-кейсы'!$A$5:$A$54,"TC-PING-002")</x:f>
        <x:v>2</x:v>
      </x:c>
    </x:row>
    <x:row r="15">
      <x:c r="A15" s="49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B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C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D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E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F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G15" s="50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H15" s="51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</x:row>
    <x:row r="16">
      <x:c r="A16" s="52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B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C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D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E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F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G16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H16" s="54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</x:row>
    <x:row r="17">
      <x:c r="A17" s="52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B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C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D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E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F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G17" s="53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H17" s="54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</x:row>
    <x:row r="18">
      <x:c r="A18" s="55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B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C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D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E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F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G18" s="56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  <x:c r="H18" s="57" t="str">
        <x:v>Как использовать
1. Импортировать JSON-коллекцию в Postman.
2. Запустить коллекцию целиком по порядку; она создает только собственные записи и выполняет cleanup.
3. Failed-проверки намеренно фиксируют подтвержденные расхождения и связаны с баг-репортом.
4. Сервис сбрасывает данные, поэтому точные bookingid могут измениться.</x:v>
      </x:c>
    </x:row>
  </x:sheetData>
  <x:mergeCells>
    <x:mergeCell ref="A1:H1"/>
    <x:mergeCell ref="A2:H2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5" hidden="0" customWidth="1"/>
    <x:col min="4" max="4" width="38" hidden="0" customWidth="1"/>
    <x:col min="5" max="5" width="54" hidden="0" customWidth="1"/>
    <x:col min="6" max="6" width="44" hidden="0" customWidth="1"/>
    <x:col min="7" max="7" width="54" hidden="0" customWidth="1"/>
    <x:col min="8" max="8" width="54" hidden="0" customWidth="1"/>
    <x:col min="9" max="9" width="12" hidden="0" customWidth="1"/>
    <x:col min="10" max="10" width="12" hidden="0" customWidth="1"/>
    <x:col min="11" max="11" width="44" hidden="0" customWidth="1"/>
    <x:col min="12" max="12" width="54" hidden="0" customWidth="1"/>
  </x:cols>
  <x:sheetData>
    <x:row r="1" ht="32" customHeight="1">
      <x:c r="A1" s="3" t="str">
        <x:v>Тест-кейсы</x:v>
      </x:c>
      <x:c r="B1" s="3" t="str">
        <x:v>Тест-кейсы</x:v>
      </x:c>
      <x:c r="C1" s="3" t="str">
        <x:v>Тест-кейсы</x:v>
      </x:c>
      <x:c r="D1" s="3" t="str">
        <x:v>Тест-кейсы</x:v>
      </x:c>
      <x:c r="E1" s="3" t="str">
        <x:v>Тест-кейсы</x:v>
      </x:c>
      <x:c r="F1" s="3" t="str">
        <x:v>Тест-кейсы</x:v>
      </x:c>
      <x:c r="G1" s="3" t="str">
        <x:v>Тест-кейсы</x:v>
      </x:c>
      <x:c r="H1" s="3" t="str">
        <x:v>Тест-кейсы</x:v>
      </x:c>
      <x:c r="I1" s="3" t="str">
        <x:v>Тест-кейсы</x:v>
      </x:c>
      <x:c r="J1" s="3" t="str">
        <x:v>Тест-кейсы</x:v>
      </x:c>
      <x:c r="K1" s="3" t="str">
        <x:v>Тест-кейсы</x:v>
      </x:c>
      <x:c r="L1" s="3" t="str">
        <x:v>Тест-кейсы</x:v>
      </x:c>
    </x:row>
    <x:row r="2" ht="34" customHeight="1">
      <x:c r="A2" s="7" t="str">
        <x:v>Фактические результаты зафиксированы живым пробником; точные запросы и Tests находятся в Postman Collection.</x:v>
      </x:c>
      <x:c r="B2" s="7" t="str">
        <x:v>Фактические результаты зафиксированы живым пробником; точные запросы и Tests находятся в Postman Collection.</x:v>
      </x:c>
      <x:c r="C2" s="7" t="str">
        <x:v>Фактические результаты зафиксированы живым пробником; точные запросы и Tests находятся в Postman Collection.</x:v>
      </x:c>
      <x:c r="D2" s="7" t="str">
        <x:v>Фактические результаты зафиксированы живым пробником; точные запросы и Tests находятся в Postman Collection.</x:v>
      </x:c>
      <x:c r="E2" s="7" t="str">
        <x:v>Фактические результаты зафиксированы живым пробником; точные запросы и Tests находятся в Postman Collection.</x:v>
      </x:c>
      <x:c r="F2" s="7" t="str">
        <x:v>Фактические результаты зафиксированы живым пробником; точные запросы и Tests находятся в Postman Collection.</x:v>
      </x:c>
      <x:c r="G2" s="7" t="str">
        <x:v>Фактические результаты зафиксированы живым пробником; точные запросы и Tests находятся в Postman Collection.</x:v>
      </x:c>
      <x:c r="H2" s="7" t="str">
        <x:v>Фактические результаты зафиксированы живым пробником; точные запросы и Tests находятся в Postman Collection.</x:v>
      </x:c>
      <x:c r="I2" s="7" t="str">
        <x:v>Фактические результаты зафиксированы живым пробником; точные запросы и Tests находятся в Postman Collection.</x:v>
      </x:c>
      <x:c r="J2" s="7" t="str">
        <x:v>Фактические результаты зафиксированы живым пробником; точные запросы и Tests находятся в Postman Collection.</x:v>
      </x:c>
      <x:c r="K2" s="7" t="str">
        <x:v>Фактические результаты зафиксированы живым пробником; точные запросы и Tests находятся в Postman Collection.</x:v>
      </x:c>
      <x:c r="L2" s="7" t="str">
        <x:v>Фактические результаты зафиксированы живым пробником; точные запросы и Tests находятся в Postman Collection.</x:v>
      </x:c>
    </x:row>
    <x:row r="4" ht="32" customHeight="1">
      <x:c r="A4" s="11" t="str">
        <x:v>ID</x:v>
      </x:c>
      <x:c r="B4" s="11" t="str">
        <x:v>Тип</x:v>
      </x:c>
      <x:c r="C4" s="11" t="str">
        <x:v>Эндпоинт</x:v>
      </x:c>
      <x:c r="D4" s="11" t="str">
        <x:v>Название</x:v>
      </x:c>
      <x:c r="E4" s="11" t="str">
        <x:v>Предусловия и шаги</x:v>
      </x:c>
      <x:c r="F4" s="11" t="str">
        <x:v>Тестовые данные</x:v>
      </x:c>
      <x:c r="G4" s="11" t="str">
        <x:v>Ожидаемый результат</x:v>
      </x:c>
      <x:c r="H4" s="11" t="str">
        <x:v>Фактический результат</x:v>
      </x:c>
      <x:c r="I4" s="11" t="str">
        <x:v>Статус</x:v>
      </x:c>
      <x:c r="J4" s="11" t="str">
        <x:v>Приоритет</x:v>
      </x:c>
      <x:c r="K4" s="11" t="str">
        <x:v>Postman item</x:v>
      </x:c>
      <x:c r="L4" s="11" t="str">
        <x:v>Источники</x:v>
      </x:c>
    </x:row>
    <x:row r="5" ht="70" customHeight="1">
      <x:c r="A5" s="68" t="str">
        <x:v>TC-AUTH-001</x:v>
      </x:c>
      <x:c r="B5" s="65" t="str">
        <x:v>Позитивный</x:v>
      </x:c>
      <x:c r="C5" s="65" t="str">
        <x:v>POST /auth</x:v>
      </x:c>
      <x:c r="D5" s="65" t="str">
        <x:v>Получение токена с валидными учетными данными</x:v>
      </x:c>
      <x:c r="E5" s="65" t="str">
        <x:v>Сервис доступен; коллекция выполняется по порядку.
Отправить POST /auth; проверить статус, заголовки и тело ответа.</x:v>
      </x:c>
      <x:c r="F5" s="65" t="str">
        <x:v>username=admin; password=password123</x:v>
      </x:c>
      <x:c r="G5" s="65" t="str">
        <x:v>200; JSON содержит непустой строковый token; token сохранен в переменную коллекции.</x:v>
      </x:c>
      <x:c r="H5" s="65" t="str">
        <x:v>200; Content-Type: application/json; charset=utf-8; Body: {"token":"852a70627ccadaf"}</x:v>
      </x:c>
      <x:c r="I5" s="71" t="str">
        <x:v>Passed</x:v>
      </x:c>
      <x:c r="J5" s="71" t="str">
        <x:v>P0</x:v>
      </x:c>
      <x:c r="K5" s="65" t="str">
        <x:v>TC-AUTH-001 — Получение токена с валидными учетными данными</x:v>
      </x:c>
      <x:c r="L5" s="65" t="str">
        <x:v>https://restful-booker.herokuapp.com/apidoc/api_data.json</x:v>
      </x:c>
    </x:row>
    <x:row r="6" ht="70" customHeight="1">
      <x:c r="A6" s="69" t="str">
        <x:v>TC-AUTH-002</x:v>
      </x:c>
      <x:c r="B6" s="66" t="str">
        <x:v>Негативный</x:v>
      </x:c>
      <x:c r="C6" s="66" t="str">
        <x:v>POST /auth</x:v>
      </x:c>
      <x:c r="D6" s="66" t="str">
        <x:v>Неверный пароль</x:v>
      </x:c>
      <x:c r="E6" s="66" t="str">
        <x:v>Сервис доступен; коллекция выполняется по порядку.
Отправить POST /auth; проверить статус, заголовки и тело ответа.</x:v>
      </x:c>
      <x:c r="F6" s="66" t="str">
        <x:v>username=admin; password=wrong</x:v>
      </x:c>
      <x:c r="G6" s="66" t="str">
        <x:v>401 Unauthorized; токен не выдан.</x:v>
      </x:c>
      <x:c r="H6" s="66" t="str">
        <x:v>200; Content-Type: application/json; charset=utf-8; Body: {"reason":"Bad credentials"}</x:v>
      </x:c>
      <x:c r="I6" s="72" t="str">
        <x:v>Failed</x:v>
      </x:c>
      <x:c r="J6" s="72" t="str">
        <x:v>P1</x:v>
      </x:c>
      <x:c r="K6" s="66" t="str">
        <x:v>TC-AUTH-002 — Неверный пароль</x:v>
      </x:c>
      <x:c r="L6" s="66" t="str">
        <x:v>https://restful-booker.herokuapp.com/apidoc/api_data.json
https://www.rfc-editor.org/rfc/rfc9110.html#name-401-unauthorized</x:v>
      </x:c>
    </x:row>
    <x:row r="7" ht="70" customHeight="1">
      <x:c r="A7" s="69" t="str">
        <x:v>TC-AUTH-003</x:v>
      </x:c>
      <x:c r="B7" s="66" t="str">
        <x:v>Негативный</x:v>
      </x:c>
      <x:c r="C7" s="66" t="str">
        <x:v>POST /auth</x:v>
      </x:c>
      <x:c r="D7" s="66" t="str">
        <x:v>Обязательный password отсутствует</x:v>
      </x:c>
      <x:c r="E7" s="66" t="str">
        <x:v>Сервис доступен; коллекция выполняется по порядку.
Отправить POST /auth; проверить статус, заголовки и тело ответа.</x:v>
      </x:c>
      <x:c r="F7" s="66" t="str">
        <x:v>{"username":"admin"}</x:v>
      </x:c>
      <x:c r="G7" s="66" t="str">
        <x:v>400 Bad Request; токен не выдан.</x:v>
      </x:c>
      <x:c r="H7" s="66" t="str">
        <x:v>200; Content-Type: application/json; charset=utf-8; Body: {"reason":"Bad credentials"}</x:v>
      </x:c>
      <x:c r="I7" s="72" t="str">
        <x:v>Failed</x:v>
      </x:c>
      <x:c r="J7" s="72" t="str">
        <x:v>P1</x:v>
      </x:c>
      <x:c r="K7" s="66" t="str">
        <x:v>TC-AUTH-003 — Обязательный password отсутствует</x:v>
      </x:c>
      <x:c r="L7" s="66" t="str">
        <x:v>https://restful-booker.herokuapp.com/apidoc/api_data.json
https://www.rfc-editor.org/rfc/rfc9110.html#name-400-bad-request</x:v>
      </x:c>
    </x:row>
    <x:row r="8" ht="70" customHeight="1">
      <x:c r="A8" s="69" t="str">
        <x:v>TC-AUTH-004</x:v>
      </x:c>
      <x:c r="B8" s="66" t="str">
        <x:v>Негативный</x:v>
      </x:c>
      <x:c r="C8" s="66" t="str">
        <x:v>POST /auth</x:v>
      </x:c>
      <x:c r="D8" s="66" t="str">
        <x:v>Невалидный JSON</x:v>
      </x:c>
      <x:c r="E8" s="66" t="str">
        <x:v>Сервис доступен; коллекция выполняется по порядку.
Отправить POST /auth; проверить статус, заголовки и тело ответа.</x:v>
      </x:c>
      <x:c r="F8" s="66" t="str">
        <x:v>Body: {</x:v>
      </x:c>
      <x:c r="G8" s="66" t="str">
        <x:v>400 Bad Request.</x:v>
      </x:c>
      <x:c r="H8" s="66" t="str">
        <x:v>400; Content-Type: text/plain; charset=utf-8; Body: Bad Request</x:v>
      </x:c>
      <x:c r="I8" s="72" t="str">
        <x:v>Passed</x:v>
      </x:c>
      <x:c r="J8" s="72" t="str">
        <x:v>P1</x:v>
      </x:c>
      <x:c r="K8" s="66" t="str">
        <x:v>TC-AUTH-004 — Невалидный JSON</x:v>
      </x:c>
      <x:c r="L8" s="66" t="str">
        <x:v>https://restful-booker.herokuapp.com/apidoc/api_data.json
https://www.rfc-editor.org/rfc/rfc9110.html#name-400-bad-request</x:v>
      </x:c>
    </x:row>
    <x:row r="9" ht="70" customHeight="1">
      <x:c r="A9" s="69" t="str">
        <x:v>TC-POST-001</x:v>
      </x:c>
      <x:c r="B9" s="66" t="str">
        <x:v>Позитивный</x:v>
      </x:c>
      <x:c r="C9" s="66" t="str">
        <x:v>POST /booking</x:v>
      </x:c>
      <x:c r="D9" s="66" t="str">
        <x:v>Создание бронирования с валидным JSON</x:v>
      </x:c>
      <x:c r="E9" s="66" t="str">
        <x:v>Сервис доступен; коллекция выполняется по порядку.
Отправить POST /booking; проверить статус, заголовки и тело ответа.</x:v>
      </x:c>
      <x:c r="F9" s="66" t="str">
        <x:v>Корректные значения всех обязательных полей.</x:v>
      </x:c>
      <x:c r="G9" s="66" t="str">
        <x:v>200; bookingid — число; booking полностью совпадает с запросом.</x:v>
      </x:c>
      <x:c r="H9" s="66" t="str">
        <x:v>200; Content-Type: application/json; charset=utf-8; Body: {"bookingid":3160,"booking":{"firstname":"CodexBase","lastname":"ProbeBase","totalprice":321,"depositpaid":true,"bookingdates":{"checkin":"2030-01-10","checkout":"2030-01-20"},"additionalneeds":"Breakfast"}}</x:v>
      </x:c>
      <x:c r="I9" s="72" t="str">
        <x:v>Passed</x:v>
      </x:c>
      <x:c r="J9" s="72" t="str">
        <x:v>P0</x:v>
      </x:c>
      <x:c r="K9" s="66" t="str">
        <x:v>TC-POST-001 — Создание бронирования с валидным JSON</x:v>
      </x:c>
      <x:c r="L9" s="66" t="str">
        <x:v>https://restful-booker.herokuapp.com/apidoc/api_data.json</x:v>
      </x:c>
    </x:row>
    <x:row r="10" ht="70" customHeight="1">
      <x:c r="A10" s="69" t="str">
        <x:v>TC-POST-002</x:v>
      </x:c>
      <x:c r="B10" s="66" t="str">
        <x:v>Позитивный</x:v>
      </x:c>
      <x:c r="C10" s="66" t="str">
        <x:v>POST /booking</x:v>
      </x:c>
      <x:c r="D10" s="66" t="str">
        <x:v>Сохранение дробной totalprice без потери точности</x:v>
      </x:c>
      <x:c r="E10" s="66" t="str">
        <x:v>Сервис доступен; коллекция выполняется по порядку.
Отправить POST /booking; проверить статус, заголовки и тело ответа.</x:v>
      </x:c>
      <x:c r="F10" s="66" t="str">
        <x:v>totalprice=99.99</x:v>
      </x:c>
      <x:c r="G10" s="66" t="str">
        <x:v>200; booking.totalprice строго равен 99.99.</x:v>
      </x:c>
      <x:c r="H10" s="66" t="str">
        <x:v>200; Content-Type: application/json; charset=utf-8; Body: {"bookingid":3202,"booking":{"firstname":"CodexDecimal","lastname":"ProbeDecimal","totalprice":99,"depositpaid":true,"bookingdates":{"checkin":"2030-01-10","checkout":"2030-01-20"},"additionalneeds":"Breakfast"}}</x:v>
      </x:c>
      <x:c r="I10" s="72" t="str">
        <x:v>Failed</x:v>
      </x:c>
      <x:c r="J10" s="72" t="str">
        <x:v>P1</x:v>
      </x:c>
      <x:c r="K10" s="66" t="str">
        <x:v>TC-POST-002 — Сохранение дробной totalprice без потери точности</x:v>
      </x:c>
      <x:c r="L10" s="66" t="str">
        <x:v>https://restful-booker.herokuapp.com/apidoc/api_data.json</x:v>
      </x:c>
    </x:row>
    <x:row r="11" ht="70" customHeight="1">
      <x:c r="A11" s="69" t="str">
        <x:v>TC-POST-003</x:v>
      </x:c>
      <x:c r="B11" s="66" t="str">
        <x:v>Негативный</x:v>
      </x:c>
      <x:c r="C11" s="66" t="str">
        <x:v>POST /booking</x:v>
      </x:c>
      <x:c r="D11" s="66" t="str">
        <x:v>Невалидный формат checkin</x:v>
      </x:c>
      <x:c r="E11" s="66" t="str">
        <x:v>Сервис доступен; коллекция выполняется по порядку.
Отправить POST /booking; проверить статус, заголовки и тело ответа.</x:v>
      </x:c>
      <x:c r="F11" s="66" t="str">
        <x:v>bookingdates.checkin=not-a-date</x:v>
      </x:c>
      <x:c r="G11" s="66" t="str">
        <x:v>400 Bad Request; запись не создана.</x:v>
      </x:c>
      <x:c r="H11" s="66" t="str">
        <x:v>200; Content-Type: application/json; charset=utf-8; Body: {"bookingid":3204,"booking":{"firstname":"CodexBadDate","lastname":"ProbeBadDate","totalprice":321,"depositpaid":true,"bookingdates":{"checkin":"0NaN-aN-aN","checkout":"2030-01-20"},"additionalneeds":"Breakfast"}}</x:v>
      </x:c>
      <x:c r="I11" s="72" t="str">
        <x:v>Failed</x:v>
      </x:c>
      <x:c r="J11" s="72" t="str">
        <x:v>P1</x:v>
      </x:c>
      <x:c r="K11" s="66" t="str">
        <x:v>TC-POST-003 — Невалидный формат checkin</x:v>
      </x:c>
      <x:c r="L11" s="66" t="str">
        <x:v>https://restful-booker.herokuapp.com/apidoc/api_data.json
https://www.rfc-editor.org/rfc/rfc9110.html#name-400-bad-request</x:v>
      </x:c>
    </x:row>
    <x:row r="12" ht="70" customHeight="1">
      <x:c r="A12" s="69" t="str">
        <x:v>TC-POST-004</x:v>
      </x:c>
      <x:c r="B12" s="66" t="str">
        <x:v>Негативный</x:v>
      </x:c>
      <x:c r="C12" s="66" t="str">
        <x:v>POST /booking</x:v>
      </x:c>
      <x:c r="D12" s="66" t="str">
        <x:v>Обязательный firstname отсутствует</x:v>
      </x:c>
      <x:c r="E12" s="66" t="str">
        <x:v>Сервис доступен; коллекция выполняется по порядку.
Отправить POST /booking; проверить статус, заголовки и тело ответа.</x:v>
      </x:c>
      <x:c r="F12" s="66" t="str">
        <x:v>JSON без firstname</x:v>
      </x:c>
      <x:c r="G12" s="66" t="str">
        <x:v>400 Bad Request; запись не создана.</x:v>
      </x:c>
      <x:c r="H12" s="66" t="str">
        <x:v>500; Content-Type: text/plain; charset=utf-8; Body: Internal Server Error</x:v>
      </x:c>
      <x:c r="I12" s="72" t="str">
        <x:v>Failed</x:v>
      </x:c>
      <x:c r="J12" s="72" t="str">
        <x:v>P1</x:v>
      </x:c>
      <x:c r="K12" s="66" t="str">
        <x:v>TC-POST-004 — Обязательный firstname отсутствует</x:v>
      </x:c>
      <x:c r="L12" s="66" t="str">
        <x:v>https://restful-booker.herokuapp.com/apidoc/api_data.json
https://www.rfc-editor.org/rfc/rfc9110.html#name-400-bad-request</x:v>
      </x:c>
    </x:row>
    <x:row r="13" ht="70" customHeight="1">
      <x:c r="A13" s="69" t="str">
        <x:v>TC-POST-005</x:v>
      </x:c>
      <x:c r="B13" s="66" t="str">
        <x:v>Негативный</x:v>
      </x:c>
      <x:c r="C13" s="66" t="str">
        <x:v>POST /booking</x:v>
      </x:c>
      <x:c r="D13" s="66" t="str">
        <x:v>Строка вместо Number в totalprice</x:v>
      </x:c>
      <x:c r="E13" s="66" t="str">
        <x:v>Сервис доступен; коллекция выполняется по порядку.
Отправить POST /booking; проверить статус, заголовки и тело ответа.</x:v>
      </x:c>
      <x:c r="F13" s="66" t="str">
        <x:v>totalprice=not-a-number</x:v>
      </x:c>
      <x:c r="G13" s="66" t="str">
        <x:v>400 Bad Request; запись не создана.</x:v>
      </x:c>
      <x:c r="H13" s="66" t="str">
        <x:v>200; Content-Type: application/json; charset=utf-8; Body: {"bookingid":3208,"booking":{"firstname":"CodexTypes","lastname":"ProbeTypes","totalprice":null,"depositpaid":true,"bookingdates":{"checkin":"2030-01-10","checkout":"2030-01-20"},"additionalneeds":"Breakfast"}}</x:v>
      </x:c>
      <x:c r="I13" s="72" t="str">
        <x:v>Failed</x:v>
      </x:c>
      <x:c r="J13" s="72" t="str">
        <x:v>P1</x:v>
      </x:c>
      <x:c r="K13" s="66" t="str">
        <x:v>TC-POST-005 — Строка вместо Number в totalprice</x:v>
      </x:c>
      <x:c r="L13" s="66" t="str">
        <x:v>https://restful-booker.herokuapp.com/apidoc/api_data.json
https://www.rfc-editor.org/rfc/rfc9110.html#name-400-bad-request</x:v>
      </x:c>
    </x:row>
    <x:row r="14" ht="70" customHeight="1">
      <x:c r="A14" s="69" t="str">
        <x:v>TC-POST-006</x:v>
      </x:c>
      <x:c r="B14" s="66" t="str">
        <x:v>Негативный</x:v>
      </x:c>
      <x:c r="C14" s="66" t="str">
        <x:v>POST /booking</x:v>
      </x:c>
      <x:c r="D14" s="66" t="str">
        <x:v>Невалидный JSON</x:v>
      </x:c>
      <x:c r="E14" s="66" t="str">
        <x:v>Сервис доступен; коллекция выполняется по порядку.
Отправить POST /booking; проверить статус, заголовки и тело ответа.</x:v>
      </x:c>
      <x:c r="F14" s="66" t="str">
        <x:v>Body: {</x:v>
      </x:c>
      <x:c r="G14" s="66" t="str">
        <x:v>400 Bad Request.</x:v>
      </x:c>
      <x:c r="H14" s="66" t="str">
        <x:v>400; Content-Type: text/plain; charset=utf-8; Body: Bad Request</x:v>
      </x:c>
      <x:c r="I14" s="72" t="str">
        <x:v>Passed</x:v>
      </x:c>
      <x:c r="J14" s="72" t="str">
        <x:v>P1</x:v>
      </x:c>
      <x:c r="K14" s="66" t="str">
        <x:v>TC-POST-006 — Невалидный JSON</x:v>
      </x:c>
      <x:c r="L14" s="66" t="str">
        <x:v>https://restful-booker.herokuapp.com/apidoc/api_data.json
https://www.rfc-editor.org/rfc/rfc9110.html#name-400-bad-request</x:v>
      </x:c>
    </x:row>
    <x:row r="15" ht="70" customHeight="1">
      <x:c r="A15" s="69" t="str">
        <x:v>TC-POST-007</x:v>
      </x:c>
      <x:c r="B15" s="66" t="str">
        <x:v>Негативный</x:v>
      </x:c>
      <x:c r="C15" s="66" t="str">
        <x:v>POST /booking</x:v>
      </x:c>
      <x:c r="D15" s="66" t="str">
        <x:v>Пустое тело запроса</x:v>
      </x:c>
      <x:c r="E15" s="66" t="str">
        <x:v>Сервис доступен; коллекция выполняется по порядку.
Отправить POST /booking; проверить статус, заголовки и тело ответа.</x:v>
      </x:c>
      <x:c r="F15" s="66" t="str">
        <x:v>Пустой body при Content-Type: application/json</x:v>
      </x:c>
      <x:c r="G15" s="66" t="str">
        <x:v>400 Bad Request; запись не создана.</x:v>
      </x:c>
      <x:c r="H15" s="66" t="str">
        <x:v>500; Content-Type: text/plain; charset=utf-8; Body: Internal Server Error</x:v>
      </x:c>
      <x:c r="I15" s="72" t="str">
        <x:v>Failed</x:v>
      </x:c>
      <x:c r="J15" s="72" t="str">
        <x:v>P1</x:v>
      </x:c>
      <x:c r="K15" s="66" t="str">
        <x:v>TC-POST-007 — Пустое тело запроса</x:v>
      </x:c>
      <x:c r="L15" s="66" t="str">
        <x:v>https://restful-booker.herokuapp.com/apidoc/api_data.json
https://www.rfc-editor.org/rfc/rfc9110.html#name-400-bad-request</x:v>
      </x:c>
    </x:row>
    <x:row r="16" ht="70" customHeight="1">
      <x:c r="A16" s="69" t="str">
        <x:v>TC-FLTR-001</x:v>
      </x:c>
      <x:c r="B16" s="66" t="str">
        <x:v>Позитивный</x:v>
      </x:c>
      <x:c r="C16" s="66" t="str">
        <x:v>GET /booking</x:v>
      </x:c>
      <x:c r="D16" s="66" t="str">
        <x:v>Получение всех bookingid</x:v>
      </x:c>
      <x:c r="E16" s="66" t="str">
        <x:v>Сервис доступен; коллекция выполняется по порядку.
Отправить GET /booking; проверить статус, заголовки и тело ответа.</x:v>
      </x:c>
      <x:c r="F16" s="66" t="str">
        <x:v>—</x:v>
      </x:c>
      <x:c r="G16" s="66" t="str">
        <x:v>200; JSON-массив объектов с числовым bookingid; созданный ID присутствует.</x:v>
      </x:c>
      <x:c r="H16" s="66" t="str">
        <x:v>200; JSON-массив, элементов: 2186; созданный bookingid 3160: присутствует</x:v>
      </x:c>
      <x:c r="I16" s="72" t="str">
        <x:v>Passed</x:v>
      </x:c>
      <x:c r="J16" s="72" t="str">
        <x:v>P1</x:v>
      </x:c>
      <x:c r="K16" s="66" t="str">
        <x:v>TC-FLTR-001 — Получение всех bookingid</x:v>
      </x:c>
      <x:c r="L16" s="66" t="str">
        <x:v>https://restful-booker.herokuapp.com/apidoc/api_data.json</x:v>
      </x:c>
    </x:row>
    <x:row r="17" ht="70" customHeight="1">
      <x:c r="A17" s="69" t="str">
        <x:v>TC-FLTR-002</x:v>
      </x:c>
      <x:c r="B17" s="66" t="str">
        <x:v>Позитивный</x:v>
      </x:c>
      <x:c r="C17" s="66" t="str">
        <x:v>GET /booking?firstname={{firstname}}</x:v>
      </x:c>
      <x:c r="D17" s="66" t="str">
        <x:v>Фильтр по firstname</x:v>
      </x:c>
      <x:c r="E17" s="66" t="str">
        <x:v>Сервис доступен; коллекция выполняется по порядку.
Отправить GET /booking?firstname={{firstname}}; проверить статус, заголовки и тело ответа.</x:v>
      </x:c>
      <x:c r="F17" s="66" t="str">
        <x:v>firstname созданной записи</x:v>
      </x:c>
      <x:c r="G17" s="66" t="str">
        <x:v>200; массив содержит bookingid созданной записи.</x:v>
      </x:c>
      <x:c r="H17" s="66" t="str">
        <x:v>200; JSON-массив, элементов: 1; созданный bookingid 3160: присутствует</x:v>
      </x:c>
      <x:c r="I17" s="72" t="str">
        <x:v>Passed</x:v>
      </x:c>
      <x:c r="J17" s="72" t="str">
        <x:v>P1</x:v>
      </x:c>
      <x:c r="K17" s="66" t="str">
        <x:v>TC-FLTR-002 — Фильтр по firstname</x:v>
      </x:c>
      <x:c r="L17" s="66" t="str">
        <x:v>https://restful-booker.herokuapp.com/apidoc/api_data.json</x:v>
      </x:c>
    </x:row>
    <x:row r="18" ht="70" customHeight="1">
      <x:c r="A18" s="69" t="str">
        <x:v>TC-FLTR-003</x:v>
      </x:c>
      <x:c r="B18" s="66" t="str">
        <x:v>Позитивный</x:v>
      </x:c>
      <x:c r="C18" s="66" t="str">
        <x:v>GET /booking?lastname={{lastname}}</x:v>
      </x:c>
      <x:c r="D18" s="66" t="str">
        <x:v>Фильтр по lastname</x:v>
      </x:c>
      <x:c r="E18" s="66" t="str">
        <x:v>Сервис доступен; коллекция выполняется по порядку.
Отправить GET /booking?lastname={{lastname}}; проверить статус, заголовки и тело ответа.</x:v>
      </x:c>
      <x:c r="F18" s="66" t="str">
        <x:v>lastname созданной записи</x:v>
      </x:c>
      <x:c r="G18" s="66" t="str">
        <x:v>200; массив содержит bookingid созданной записи.</x:v>
      </x:c>
      <x:c r="H18" s="66" t="str">
        <x:v>200; JSON-массив, элементов: 1; созданный bookingid 3160: присутствует</x:v>
      </x:c>
      <x:c r="I18" s="72" t="str">
        <x:v>Passed</x:v>
      </x:c>
      <x:c r="J18" s="72" t="str">
        <x:v>P1</x:v>
      </x:c>
      <x:c r="K18" s="66" t="str">
        <x:v>TC-FLTR-003 — Фильтр по lastname</x:v>
      </x:c>
      <x:c r="L18" s="66" t="str">
        <x:v>https://restful-booker.herokuapp.com/apidoc/api_data.json</x:v>
      </x:c>
    </x:row>
    <x:row r="19" ht="70" customHeight="1">
      <x:c r="A19" s="69" t="str">
        <x:v>TC-FLTR-004</x:v>
      </x:c>
      <x:c r="B19" s="66" t="str">
        <x:v>Позитивный</x:v>
      </x:c>
      <x:c r="C19" s="66" t="str">
        <x:v>GET /booking?firstname={{firstname}}&amp;lastname={{lastname}}</x:v>
      </x:c>
      <x:c r="D19" s="66" t="str">
        <x:v>Комбинация firstname + lastname</x:v>
      </x:c>
      <x:c r="E19" s="66" t="str">
        <x:v>Сервис доступен; коллекция выполняется по порядку.
Отправить GET /booking?firstname={{firstname}}&amp;lastname={{lastname}}; проверить статус, заголовки и тело ответа.</x:v>
      </x:c>
      <x:c r="F19" s="66" t="str">
        <x:v>firstname и lastname созданной записи</x:v>
      </x:c>
      <x:c r="G19" s="66" t="str">
        <x:v>200; массив содержит bookingid созданной записи.</x:v>
      </x:c>
      <x:c r="H19" s="66" t="str">
        <x:v>200; JSON-массив, элементов: 1; созданный bookingid 3160: присутствует</x:v>
      </x:c>
      <x:c r="I19" s="72" t="str">
        <x:v>Passed</x:v>
      </x:c>
      <x:c r="J19" s="72" t="str">
        <x:v>P1</x:v>
      </x:c>
      <x:c r="K19" s="66" t="str">
        <x:v>TC-FLTR-004 — Комбинация firstname + lastname</x:v>
      </x:c>
      <x:c r="L19" s="66" t="str">
        <x:v>https://restful-booker.herokuapp.com/apidoc/api_data.json</x:v>
      </x:c>
    </x:row>
    <x:row r="20" ht="70" customHeight="1">
      <x:c r="A20" s="69" t="str">
        <x:v>TC-FLTR-005</x:v>
      </x:c>
      <x:c r="B20" s="66" t="str">
        <x:v>Позитивный</x:v>
      </x:c>
      <x:c r="C20" s="66" t="str">
        <x:v>GET /booking?checkin=2030-01-09</x:v>
      </x:c>
      <x:c r="D20" s="66" t="str">
        <x:v>Нижняя граница checkin включает запись</x:v>
      </x:c>
      <x:c r="E20" s="66" t="str">
        <x:v>Сервис доступен; коллекция выполняется по порядку.
Отправить GET /booking?checkin=2030-01-09; проверить статус, заголовки и тело ответа.</x:v>
      </x:c>
      <x:c r="F20" s="66" t="str">
        <x:v>checkin параметр 2030-01-09; у записи 2030-01-10</x:v>
      </x:c>
      <x:c r="G20" s="66" t="str">
        <x:v>200; bookingid присутствует, так как 2030-01-10 &gt;= 2030-01-09.</x:v>
      </x:c>
      <x:c r="H20" s="66" t="str">
        <x:v>200; JSON-массив, элементов: 1; созданный bookingid 3160: присутствует</x:v>
      </x:c>
      <x:c r="I20" s="72" t="str">
        <x:v>Passed</x:v>
      </x:c>
      <x:c r="J20" s="72" t="str">
        <x:v>P1</x:v>
      </x:c>
      <x:c r="K20" s="66" t="str">
        <x:v>TC-FLTR-005 — Нижняя граница checkin включает запись</x:v>
      </x:c>
      <x:c r="L20" s="66" t="str">
        <x:v>https://restful-booker.herokuapp.com/apidoc/api_data.json</x:v>
      </x:c>
    </x:row>
    <x:row r="21" ht="70" customHeight="1">
      <x:c r="A21" s="69" t="str">
        <x:v>TC-FLTR-006</x:v>
      </x:c>
      <x:c r="B21" s="66" t="str">
        <x:v>Позитивный</x:v>
      </x:c>
      <x:c r="C21" s="66" t="str">
        <x:v>GET /booking?checkin=2030-01-11</x:v>
      </x:c>
      <x:c r="D21" s="66" t="str">
        <x:v>Нижняя граница checkin исключает запись</x:v>
      </x:c>
      <x:c r="E21" s="66" t="str">
        <x:v>Сервис доступен; коллекция выполняется по порядку.
Отправить GET /booking?checkin=2030-01-11; проверить статус, заголовки и тело ответа.</x:v>
      </x:c>
      <x:c r="F21" s="66" t="str">
        <x:v>checkin параметр 2030-01-11; у записи 2030-01-10</x:v>
      </x:c>
      <x:c r="G21" s="66" t="str">
        <x:v>200; bookingid отсутствует.</x:v>
      </x:c>
      <x:c r="H21" s="66" t="str">
        <x:v>200; JSON-массив, элементов: 0; созданный bookingid 3160: отсутствует</x:v>
      </x:c>
      <x:c r="I21" s="72" t="str">
        <x:v>Passed</x:v>
      </x:c>
      <x:c r="J21" s="72" t="str">
        <x:v>P1</x:v>
      </x:c>
      <x:c r="K21" s="66" t="str">
        <x:v>TC-FLTR-006 — Нижняя граница checkin исключает запись</x:v>
      </x:c>
      <x:c r="L21" s="66" t="str">
        <x:v>https://restful-booker.herokuapp.com/apidoc/api_data.json</x:v>
      </x:c>
    </x:row>
    <x:row r="22" ht="70" customHeight="1">
      <x:c r="A22" s="69" t="str">
        <x:v>TC-FLTR-007</x:v>
      </x:c>
      <x:c r="B22" s="66" t="str">
        <x:v>Позитивный</x:v>
      </x:c>
      <x:c r="C22" s="66" t="str">
        <x:v>GET /booking?checkout=2030-01-19</x:v>
      </x:c>
      <x:c r="D22" s="66" t="str">
        <x:v>Документированная нижняя граница checkout включает запись</x:v>
      </x:c>
      <x:c r="E22" s="66" t="str">
        <x:v>Сервис доступен; коллекция выполняется по порядку.
Отправить GET /booking?checkout=2030-01-19; проверить статус, заголовки и тело ответа.</x:v>
      </x:c>
      <x:c r="F22" s="66" t="str">
        <x:v>checkout параметр 2030-01-19; у записи 2030-01-20</x:v>
      </x:c>
      <x:c r="G22" s="66" t="str">
        <x:v>200; bookingid присутствует, так как документация требует checkout &gt;= параметра.</x:v>
      </x:c>
      <x:c r="H22" s="66" t="str">
        <x:v>200; JSON-массив, элементов: 2196; созданный bookingid 3160: отсутствует</x:v>
      </x:c>
      <x:c r="I22" s="72" t="str">
        <x:v>Failed</x:v>
      </x:c>
      <x:c r="J22" s="72" t="str">
        <x:v>P1</x:v>
      </x:c>
      <x:c r="K22" s="66" t="str">
        <x:v>TC-FLTR-007 — Документированная нижняя граница checkout включает запись</x:v>
      </x:c>
      <x:c r="L22" s="66" t="str">
        <x:v>https://restful-booker.herokuapp.com/apidoc/api_data.json</x:v>
      </x:c>
    </x:row>
    <x:row r="23" ht="70" customHeight="1">
      <x:c r="A23" s="69" t="str">
        <x:v>TC-FLTR-008</x:v>
      </x:c>
      <x:c r="B23" s="66" t="str">
        <x:v>Позитивный</x:v>
      </x:c>
      <x:c r="C23" s="66" t="str">
        <x:v>GET /booking?checkout=2030-01-21</x:v>
      </x:c>
      <x:c r="D23" s="66" t="str">
        <x:v>Документированная нижняя граница checkout исключает запись</x:v>
      </x:c>
      <x:c r="E23" s="66" t="str">
        <x:v>Сервис доступен; коллекция выполняется по порядку.
Отправить GET /booking?checkout=2030-01-21; проверить статус, заголовки и тело ответа.</x:v>
      </x:c>
      <x:c r="F23" s="66" t="str">
        <x:v>checkout параметр 2030-01-21; у записи 2030-01-20</x:v>
      </x:c>
      <x:c r="G23" s="66" t="str">
        <x:v>200; bookingid отсутствует.</x:v>
      </x:c>
      <x:c r="H23" s="66" t="str">
        <x:v>200; JSON-массив, элементов: 2201; созданный bookingid 3160: присутствует</x:v>
      </x:c>
      <x:c r="I23" s="72" t="str">
        <x:v>Failed</x:v>
      </x:c>
      <x:c r="J23" s="72" t="str">
        <x:v>P1</x:v>
      </x:c>
      <x:c r="K23" s="66" t="str">
        <x:v>TC-FLTR-008 — Документированная нижняя граница checkout исключает запись</x:v>
      </x:c>
      <x:c r="L23" s="66" t="str">
        <x:v>https://restful-booker.herokuapp.com/apidoc/api_data.json</x:v>
      </x:c>
    </x:row>
    <x:row r="24" ht="70" customHeight="1">
      <x:c r="A24" s="69" t="str">
        <x:v>TC-FLTR-009</x:v>
      </x:c>
      <x:c r="B24" s="66" t="str">
        <x:v>Негативный</x:v>
      </x:c>
      <x:c r="C24" s="66" t="str">
        <x:v>GET /booking?checkin=not-a-date</x:v>
      </x:c>
      <x:c r="D24" s="66" t="str">
        <x:v>Невалидный формат даты фильтра</x:v>
      </x:c>
      <x:c r="E24" s="66" t="str">
        <x:v>Сервис доступен; коллекция выполняется по порядку.
Отправить GET /booking?checkin=not-a-date; проверить статус, заголовки и тело ответа.</x:v>
      </x:c>
      <x:c r="F24" s="66" t="str">
        <x:v>checkin=not-a-date</x:v>
      </x:c>
      <x:c r="G24" s="66" t="str">
        <x:v>400 Bad Request; сервер не возвращает 5xx.</x:v>
      </x:c>
      <x:c r="H24" s="66" t="str">
        <x:v>500; Content-Type: text/plain; charset=utf-8; Body: Internal Server Error</x:v>
      </x:c>
      <x:c r="I24" s="72" t="str">
        <x:v>Failed</x:v>
      </x:c>
      <x:c r="J24" s="72" t="str">
        <x:v>P1</x:v>
      </x:c>
      <x:c r="K24" s="66" t="str">
        <x:v>TC-FLTR-009 — Невалидный формат даты фильтра</x:v>
      </x:c>
      <x:c r="L24" s="66" t="str">
        <x:v>https://restful-booker.herokuapp.com/apidoc/api_data.json
https://www.rfc-editor.org/rfc/rfc9110.html#name-400-bad-request</x:v>
      </x:c>
    </x:row>
    <x:row r="25" ht="70" customHeight="1">
      <x:c r="A25" s="69" t="str">
        <x:v>TC-FLTR-010</x:v>
      </x:c>
      <x:c r="B25" s="66" t="str">
        <x:v>Негативный</x:v>
      </x:c>
      <x:c r="C25" s="66" t="str">
        <x:v>GET /booking?firstname=NoSuchCodexGuest</x:v>
      </x:c>
      <x:c r="D25" s="66" t="str">
        <x:v>Фильтр без совпадений</x:v>
      </x:c>
      <x:c r="E25" s="66" t="str">
        <x:v>Сервис доступен; коллекция выполняется по порядку.
Отправить GET /booking?firstname=NoSuchCodexGuest; проверить статус, заголовки и тело ответа.</x:v>
      </x:c>
      <x:c r="F25" s="66" t="str">
        <x:v>несуществующий firstname</x:v>
      </x:c>
      <x:c r="G25" s="66" t="str">
        <x:v>200; пустой JSON-массив.</x:v>
      </x:c>
      <x:c r="H25" s="66" t="str">
        <x:v>200; JSON-массив, элементов: 0; созданный bookingid 3160: отсутствует</x:v>
      </x:c>
      <x:c r="I25" s="72" t="str">
        <x:v>Passed</x:v>
      </x:c>
      <x:c r="J25" s="72" t="str">
        <x:v>P1</x:v>
      </x:c>
      <x:c r="K25" s="66" t="str">
        <x:v>TC-FLTR-010 — Фильтр без совпадений</x:v>
      </x:c>
      <x:c r="L25" s="66" t="str">
        <x:v>https://restful-booker.herokuapp.com/apidoc/api_data.json</x:v>
      </x:c>
    </x:row>
    <x:row r="26" ht="70" customHeight="1">
      <x:c r="A26" s="69" t="str">
        <x:v>TC-GET-001</x:v>
      </x:c>
      <x:c r="B26" s="66" t="str">
        <x:v>Позитивный</x:v>
      </x:c>
      <x:c r="C26" s="66" t="str">
        <x:v>GET /booking/{{bookingId}}</x:v>
      </x:c>
      <x:c r="D26" s="66" t="str">
        <x:v>Получение созданного бронирования в JSON</x:v>
      </x:c>
      <x:c r="E26" s="66" t="str">
        <x:v>Сервис доступен; коллекция выполняется по порядку.
Отправить GET /booking/{{bookingId}}; проверить статус, заголовки и тело ответа.</x:v>
      </x:c>
      <x:c r="F26" s="66" t="str">
        <x:v>—</x:v>
      </x:c>
      <x:c r="G26" s="66" t="str">
        <x:v>200; полная схема и исходные значения записи.</x:v>
      </x:c>
      <x:c r="H26" s="66" t="str">
        <x:v>200; Content-Type: application/json; charset=utf-8; Body: {"firstname":"CodexBase","lastname":"ProbeBase","totalprice":321,"depositpaid":true,"bookingdates":{"checkin":"2030-01-10","checkout":"2030-01-20"},"additionalneeds":"Breakfast"}</x:v>
      </x:c>
      <x:c r="I26" s="72" t="str">
        <x:v>Passed</x:v>
      </x:c>
      <x:c r="J26" s="72" t="str">
        <x:v>P0</x:v>
      </x:c>
      <x:c r="K26" s="66" t="str">
        <x:v>TC-GET-001 — Получение созданного бронирования в JSON</x:v>
      </x:c>
      <x:c r="L26" s="66" t="str">
        <x:v>https://restful-booker.herokuapp.com/apidoc/api_data.json</x:v>
      </x:c>
    </x:row>
    <x:row r="27" ht="70" customHeight="1">
      <x:c r="A27" s="69" t="str">
        <x:v>TC-GET-002</x:v>
      </x:c>
      <x:c r="B27" s="66" t="str">
        <x:v>Позитивный</x:v>
      </x:c>
      <x:c r="C27" s="66" t="str">
        <x:v>GET /booking/{{bookingId}}</x:v>
      </x:c>
      <x:c r="D27" s="66" t="str">
        <x:v>Получение созданного бронирования в XML</x:v>
      </x:c>
      <x:c r="E27" s="66" t="str">
        <x:v>Сервис доступен; коллекция выполняется по порядку.
Отправить GET /booking/{{bookingId}}; проверить статус, заголовки и тело ответа.</x:v>
      </x:c>
      <x:c r="F27" s="66" t="str">
        <x:v>Accept: application/xml</x:v>
      </x:c>
      <x:c r="G27" s="66" t="str">
        <x:v>200; Content-Type application/xml; XML содержит booking и firstname.</x:v>
      </x:c>
      <x:c r="H27" s="66" t="str">
        <x:v>200; Content-Type: text/html; charset=utf-8; Body: &lt;?xml version='1.0'?&gt; &lt;booking&gt; &lt;firstname&gt;CodexBase&lt;/firstname&gt; &lt;lastname&gt;ProbeBase&lt;/lastname&gt; &lt;totalprice&gt;321&lt;/totalprice&gt; &lt;depositpaid&gt;true&lt;/depositpaid&gt; &lt;bookingdates&gt; &lt;checkin&gt;2030-01-10&lt;/checkin&gt; &lt;checkout&gt;2030-01-20&lt;/checkout&gt; &lt;/bookingdates&gt; &lt;additionalneeds&gt;Breakfast&lt;/ad…</x:v>
      </x:c>
      <x:c r="I27" s="72" t="str">
        <x:v>Failed</x:v>
      </x:c>
      <x:c r="J27" s="72" t="str">
        <x:v>P1</x:v>
      </x:c>
      <x:c r="K27" s="66" t="str">
        <x:v>TC-GET-002 — Получение созданного бронирования в XML</x:v>
      </x:c>
      <x:c r="L27" s="66" t="str">
        <x:v>https://restful-booker.herokuapp.com/apidoc/api_data.json
https://www.rfc-editor.org/rfc/rfc9110.html#name-content-type</x:v>
      </x:c>
    </x:row>
    <x:row r="28" ht="70" customHeight="1">
      <x:c r="A28" s="69" t="str">
        <x:v>TC-GET-003</x:v>
      </x:c>
      <x:c r="B28" s="66" t="str">
        <x:v>Негативный</x:v>
      </x:c>
      <x:c r="C28" s="66" t="str">
        <x:v>GET /booking/999999999</x:v>
      </x:c>
      <x:c r="D28" s="66" t="str">
        <x:v>Несуществующий числовой ID</x:v>
      </x:c>
      <x:c r="E28" s="66" t="str">
        <x:v>Сервис доступен; коллекция выполняется по порядку.
Отправить GET /booking/999999999; проверить статус, заголовки и тело ответа.</x:v>
      </x:c>
      <x:c r="F28" s="66" t="str">
        <x:v>—</x:v>
      </x:c>
      <x:c r="G28" s="66" t="str">
        <x:v>404 Not Found.</x:v>
      </x:c>
      <x:c r="H28" s="66" t="str">
        <x:v>404; Content-Type: text/plain; charset=utf-8; Body: Not Found</x:v>
      </x:c>
      <x:c r="I28" s="72" t="str">
        <x:v>Passed</x:v>
      </x:c>
      <x:c r="J28" s="72" t="str">
        <x:v>P1</x:v>
      </x:c>
      <x:c r="K28" s="66" t="str">
        <x:v>TC-GET-003 — Несуществующий числовой ID</x:v>
      </x:c>
      <x:c r="L28" s="66" t="str">
        <x:v>https://restful-booker.herokuapp.com/apidoc/api_data.json
https://www.rfc-editor.org/rfc/rfc9110.html#name-404-not-found</x:v>
      </x:c>
    </x:row>
    <x:row r="29" ht="70" customHeight="1">
      <x:c r="A29" s="69" t="str">
        <x:v>TC-GET-004</x:v>
      </x:c>
      <x:c r="B29" s="66" t="str">
        <x:v>Негативный</x:v>
      </x:c>
      <x:c r="C29" s="66" t="str">
        <x:v>GET /booking/not-an-id</x:v>
      </x:c>
      <x:c r="D29" s="66" t="str">
        <x:v>Нечисловой ID</x:v>
      </x:c>
      <x:c r="E29" s="66" t="str">
        <x:v>Сервис доступен; коллекция выполняется по порядку.
Отправить GET /booking/not-an-id; проверить статус, заголовки и тело ответа.</x:v>
      </x:c>
      <x:c r="F29" s="66" t="str">
        <x:v>—</x:v>
      </x:c>
      <x:c r="G29" s="66" t="str">
        <x:v>404 Not Found; нет 5xx.</x:v>
      </x:c>
      <x:c r="H29" s="66" t="str">
        <x:v>404; Content-Type: text/plain; charset=utf-8; Body: Not Found</x:v>
      </x:c>
      <x:c r="I29" s="72" t="str">
        <x:v>Passed</x:v>
      </x:c>
      <x:c r="J29" s="72" t="str">
        <x:v>P1</x:v>
      </x:c>
      <x:c r="K29" s="66" t="str">
        <x:v>TC-GET-004 — Нечисловой ID</x:v>
      </x:c>
      <x:c r="L29" s="66" t="str">
        <x:v>https://restful-booker.herokuapp.com/apidoc/api_data.json
https://www.rfc-editor.org/rfc/rfc9110.html#name-404-not-found</x:v>
      </x:c>
    </x:row>
    <x:row r="30" ht="70" customHeight="1">
      <x:c r="A30" s="69" t="str">
        <x:v>TC-PUT-001</x:v>
      </x:c>
      <x:c r="B30" s="66" t="str">
        <x:v>Позитивный</x:v>
      </x:c>
      <x:c r="C30" s="66" t="str">
        <x:v>PUT /booking/{{bookingId}}</x:v>
      </x:c>
      <x:c r="D30" s="66" t="str">
        <x:v>Полное обновление с Cookie token</x:v>
      </x:c>
      <x:c r="E30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0" s="66" t="str">
        <x:v>Все обязательные поля; Cookie: token={{token}}</x:v>
      </x:c>
      <x:c r="G30" s="66" t="str">
        <x:v>200; ответ полностью совпадает с новым объектом.</x:v>
      </x:c>
      <x:c r="H30" s="66" t="str">
        <x:v>200; Content-Type: application/json; charset=utf-8; Body: {"firstname":"CodexPutUpdated","lastname":"ProbePutUpdated","totalprice":777,"depositpaid":false,"bookingdates":{"checkin":"2030-01-10","checkout":"2030-01-20"},"additionalneeds":"Breakfast"}</x:v>
      </x:c>
      <x:c r="I30" s="72" t="str">
        <x:v>Passed</x:v>
      </x:c>
      <x:c r="J30" s="72" t="str">
        <x:v>P0</x:v>
      </x:c>
      <x:c r="K30" s="66" t="str">
        <x:v>TC-PUT-001 — Полное обновление с Cookie token</x:v>
      </x:c>
      <x:c r="L30" s="66" t="str">
        <x:v>https://restful-booker.herokuapp.com/apidoc/api_data.json</x:v>
      </x:c>
    </x:row>
    <x:row r="31" ht="70" customHeight="1">
      <x:c r="A31" s="69" t="str">
        <x:v>TC-PUT-002</x:v>
      </x:c>
      <x:c r="B31" s="66" t="str">
        <x:v>Позитивный</x:v>
      </x:c>
      <x:c r="C31" s="66" t="str">
        <x:v>PUT /booking/{{bookingId}}</x:v>
      </x:c>
      <x:c r="D31" s="66" t="str">
        <x:v>Полное обновление с Basic Auth</x:v>
      </x:c>
      <x:c r="E31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1" s="66" t="str">
        <x:v>Authorization: Basic admin:password123</x:v>
      </x:c>
      <x:c r="G31" s="66" t="str">
        <x:v>200; обновленные поля возвращены.</x:v>
      </x:c>
      <x:c r="H31" s="66" t="str">
        <x:v>200; Content-Type: application/json; charset=utf-8; Body: {"firstname":"CodexPutBasic","lastname":"ProbePutBasic","totalprice":778,"depositpaid":true,"bookingdates":{"checkin":"2030-01-10","checkout":"2030-01-20"},"additionalneeds":"Breakfast"}</x:v>
      </x:c>
      <x:c r="I31" s="72" t="str">
        <x:v>Passed</x:v>
      </x:c>
      <x:c r="J31" s="72" t="str">
        <x:v>P1</x:v>
      </x:c>
      <x:c r="K31" s="66" t="str">
        <x:v>TC-PUT-002 — Полное обновление с Basic Auth</x:v>
      </x:c>
      <x:c r="L31" s="66" t="str">
        <x:v>https://restful-booker.herokuapp.com/apidoc/api_data.json</x:v>
      </x:c>
    </x:row>
    <x:row r="32" ht="70" customHeight="1">
      <x:c r="A32" s="69" t="str">
        <x:v>TC-PUT-003</x:v>
      </x:c>
      <x:c r="B32" s="66" t="str">
        <x:v>Негативный</x:v>
      </x:c>
      <x:c r="C32" s="66" t="str">
        <x:v>PUT /booking/{{bookingId}}</x:v>
      </x:c>
      <x:c r="D32" s="66" t="str">
        <x:v>PUT без авторизации</x:v>
      </x:c>
      <x:c r="E32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2" s="66" t="str">
        <x:v>—</x:v>
      </x:c>
      <x:c r="G32" s="66" t="str">
        <x:v>403 Forbidden; запись не изменена.</x:v>
      </x:c>
      <x:c r="H32" s="66" t="str">
        <x:v>403; Content-Type: text/plain; charset=utf-8; Body: Forbidden</x:v>
      </x:c>
      <x:c r="I32" s="72" t="str">
        <x:v>Passed</x:v>
      </x:c>
      <x:c r="J32" s="72" t="str">
        <x:v>P1</x:v>
      </x:c>
      <x:c r="K32" s="66" t="str">
        <x:v>TC-PUT-003 — PUT без авторизации</x:v>
      </x:c>
      <x:c r="L32" s="66" t="str">
        <x:v>https://restful-booker.herokuapp.com/apidoc/api_data.json
https://www.rfc-editor.org/rfc/rfc9110.html#name-403-forbidden</x:v>
      </x:c>
    </x:row>
    <x:row r="33" ht="70" customHeight="1">
      <x:c r="A33" s="69" t="str">
        <x:v>TC-PUT-004</x:v>
      </x:c>
      <x:c r="B33" s="66" t="str">
        <x:v>Негативный</x:v>
      </x:c>
      <x:c r="C33" s="66" t="str">
        <x:v>PUT /booking/{{bookingId}}</x:v>
      </x:c>
      <x:c r="D33" s="66" t="str">
        <x:v>PUT с невалидным token</x:v>
      </x:c>
      <x:c r="E33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3" s="66" t="str">
        <x:v>—</x:v>
      </x:c>
      <x:c r="G33" s="66" t="str">
        <x:v>403 Forbidden; запись не изменена.</x:v>
      </x:c>
      <x:c r="H33" s="66" t="str">
        <x:v>403; Content-Type: text/plain; charset=utf-8; Body: Forbidden</x:v>
      </x:c>
      <x:c r="I33" s="72" t="str">
        <x:v>Passed</x:v>
      </x:c>
      <x:c r="J33" s="72" t="str">
        <x:v>P1</x:v>
      </x:c>
      <x:c r="K33" s="66" t="str">
        <x:v>TC-PUT-004 — PUT с невалидным token</x:v>
      </x:c>
      <x:c r="L33" s="66" t="str">
        <x:v>https://restful-booker.herokuapp.com/apidoc/api_data.json
https://www.rfc-editor.org/rfc/rfc9110.html#name-403-forbidden</x:v>
      </x:c>
    </x:row>
    <x:row r="34" ht="70" customHeight="1">
      <x:c r="A34" s="69" t="str">
        <x:v>TC-PUT-005</x:v>
      </x:c>
      <x:c r="B34" s="66" t="str">
        <x:v>Негативный</x:v>
      </x:c>
      <x:c r="C34" s="66" t="str">
        <x:v>PUT /booking/{{bookingId}}</x:v>
      </x:c>
      <x:c r="D34" s="66" t="str">
        <x:v>PUT без обязательного firstname</x:v>
      </x:c>
      <x:c r="E34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4" s="66" t="str">
        <x:v>—</x:v>
      </x:c>
      <x:c r="G34" s="66" t="str">
        <x:v>400 Bad Request; запись не изменена.</x:v>
      </x:c>
      <x:c r="H34" s="66" t="str">
        <x:v>400; Content-Type: text/plain; charset=utf-8; Body: Bad Request</x:v>
      </x:c>
      <x:c r="I34" s="72" t="str">
        <x:v>Passed</x:v>
      </x:c>
      <x:c r="J34" s="72" t="str">
        <x:v>P1</x:v>
      </x:c>
      <x:c r="K34" s="66" t="str">
        <x:v>TC-PUT-005 — PUT без обязательного firstname</x:v>
      </x:c>
      <x:c r="L34" s="66" t="str">
        <x:v>https://restful-booker.herokuapp.com/apidoc/api_data.json
https://www.rfc-editor.org/rfc/rfc9110.html#name-400-bad-request</x:v>
      </x:c>
    </x:row>
    <x:row r="35" ht="70" customHeight="1">
      <x:c r="A35" s="69" t="str">
        <x:v>TC-PUT-006</x:v>
      </x:c>
      <x:c r="B35" s="66" t="str">
        <x:v>Негативный</x:v>
      </x:c>
      <x:c r="C35" s="66" t="str">
        <x:v>PUT /booking/{{badPutId}}</x:v>
      </x:c>
      <x:c r="D35" s="66" t="str">
        <x:v>PUT со строкой вместо totalprice</x:v>
      </x:c>
      <x:c r="E35" s="66" t="str">
        <x:v>Сервис доступен; коллекция выполняется по порядку.
Отправить PUT /booking/{{badPutId}}; проверить статус, заголовки и тело ответа.</x:v>
      </x:c>
      <x:c r="F35" s="66" t="str">
        <x:v>totalprice=not-a-number</x:v>
      </x:c>
      <x:c r="G35" s="66" t="str">
        <x:v>400 Bad Request; значение не преобразуется в null.</x:v>
      </x:c>
      <x:c r="H35" s="66" t="str">
        <x:v>200; Content-Type: application/json; charset=utf-8; Body: {"firstname":"CodexBadPut","lastname":"ProbeBadPut","totalprice":null,"depositpaid":true,"bookingdates":{"checkin":"2030-01-10","checkout":"2030-01-20"},"additionalneeds":"Breakfast"}</x:v>
      </x:c>
      <x:c r="I35" s="72" t="str">
        <x:v>Failed</x:v>
      </x:c>
      <x:c r="J35" s="72" t="str">
        <x:v>P1</x:v>
      </x:c>
      <x:c r="K35" s="66" t="str">
        <x:v>TC-PUT-006 — PUT со строкой вместо totalprice</x:v>
      </x:c>
      <x:c r="L35" s="66" t="str">
        <x:v>https://restful-booker.herokuapp.com/apidoc/api_data.json
https://www.rfc-editor.org/rfc/rfc9110.html#name-400-bad-request</x:v>
      </x:c>
    </x:row>
    <x:row r="36" ht="70" customHeight="1">
      <x:c r="A36" s="69" t="str">
        <x:v>TC-PUT-007</x:v>
      </x:c>
      <x:c r="B36" s="66" t="str">
        <x:v>Негативный</x:v>
      </x:c>
      <x:c r="C36" s="66" t="str">
        <x:v>PUT /booking/999999999</x:v>
      </x:c>
      <x:c r="D36" s="66" t="str">
        <x:v>PUT несуществующего бронирования</x:v>
      </x:c>
      <x:c r="E36" s="66" t="str">
        <x:v>Сервис доступен; коллекция выполняется по порядку.
Отправить PUT /booking/999999999; проверить статус, заголовки и тело ответа.</x:v>
      </x:c>
      <x:c r="F36" s="66" t="str">
        <x:v>—</x:v>
      </x:c>
      <x:c r="G36" s="66" t="str">
        <x:v>404 Not Found.</x:v>
      </x:c>
      <x:c r="H36" s="66" t="str">
        <x:v>405; Content-Type: text/plain; charset=utf-8; Body: Method Not Allowed</x:v>
      </x:c>
      <x:c r="I36" s="72" t="str">
        <x:v>Failed</x:v>
      </x:c>
      <x:c r="J36" s="72" t="str">
        <x:v>P1</x:v>
      </x:c>
      <x:c r="K36" s="66" t="str">
        <x:v>TC-PUT-007 — PUT несуществующего бронирования</x:v>
      </x:c>
      <x:c r="L36" s="66" t="str">
        <x:v>https://restful-booker.herokuapp.com/apidoc/api_data.json
https://www.rfc-editor.org/rfc/rfc9110.html#name-404-not-found
https://www.rfc-editor.org/rfc/rfc9110.html#name-405-method-not-allowed</x:v>
      </x:c>
    </x:row>
    <x:row r="37" ht="70" customHeight="1">
      <x:c r="A37" s="69" t="str">
        <x:v>TC-PUT-008</x:v>
      </x:c>
      <x:c r="B37" s="66" t="str">
        <x:v>Негативный</x:v>
      </x:c>
      <x:c r="C37" s="66" t="str">
        <x:v>PUT /booking/{{bookingId}}</x:v>
      </x:c>
      <x:c r="D37" s="66" t="str">
        <x:v>PUT с невалидным JSON</x:v>
      </x:c>
      <x:c r="E37" s="66" t="str">
        <x:v>Сервис доступен; коллекция выполняется по порядку.
Отправить PUT /booking/{{bookingId}}; проверить статус, заголовки и тело ответа.</x:v>
      </x:c>
      <x:c r="F37" s="66" t="str">
        <x:v>Body: {</x:v>
      </x:c>
      <x:c r="G37" s="66" t="str">
        <x:v>400 Bad Request.</x:v>
      </x:c>
      <x:c r="H37" s="66" t="str">
        <x:v>400; Content-Type: text/plain; charset=utf-8; Body: Bad Request</x:v>
      </x:c>
      <x:c r="I37" s="72" t="str">
        <x:v>Passed</x:v>
      </x:c>
      <x:c r="J37" s="72" t="str">
        <x:v>P1</x:v>
      </x:c>
      <x:c r="K37" s="66" t="str">
        <x:v>TC-PUT-008 — PUT с невалидным JSON</x:v>
      </x:c>
      <x:c r="L37" s="66" t="str">
        <x:v>https://restful-booker.herokuapp.com/apidoc/api_data.json
https://www.rfc-editor.org/rfc/rfc9110.html#name-400-bad-request</x:v>
      </x:c>
    </x:row>
    <x:row r="38" ht="70" customHeight="1">
      <x:c r="A38" s="69" t="str">
        <x:v>TC-PATCH-001</x:v>
      </x:c>
      <x:c r="B38" s="66" t="str">
        <x:v>Позитивный</x:v>
      </x:c>
      <x:c r="C38" s="66" t="str">
        <x:v>PATCH /booking/{{bookingId}}</x:v>
      </x:c>
      <x:c r="D38" s="66" t="str">
        <x:v>Частичное обновление firstname</x:v>
      </x:c>
      <x:c r="E38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38" s="66" t="str">
        <x:v>{"firstname":"PatchCookie"}</x:v>
      </x:c>
      <x:c r="G38" s="66" t="str">
        <x:v>200; firstname изменен, остальные поля сохранены.</x:v>
      </x:c>
      <x:c r="H38" s="66" t="str">
        <x:v>200; Content-Type: application/json; charset=utf-8; Body: {"firstname":"CodexPatched","lastname":"ProbePatch","totalprice":321,"depositpaid":true,"bookingdates":{"checkin":"2030-01-10","checkout":"2030-01-20"},"additionalneeds":"Breakfast"}</x:v>
      </x:c>
      <x:c r="I38" s="72" t="str">
        <x:v>Passed</x:v>
      </x:c>
      <x:c r="J38" s="72" t="str">
        <x:v>P0</x:v>
      </x:c>
      <x:c r="K38" s="66" t="str">
        <x:v>TC-PATCH-001 — Частичное обновление firstname</x:v>
      </x:c>
      <x:c r="L38" s="66" t="str">
        <x:v>https://restful-booker.herokuapp.com/apidoc/api_data.json</x:v>
      </x:c>
    </x:row>
    <x:row r="39" ht="70" customHeight="1">
      <x:c r="A39" s="69" t="str">
        <x:v>TC-PATCH-002</x:v>
      </x:c>
      <x:c r="B39" s="66" t="str">
        <x:v>Позитивный</x:v>
      </x:c>
      <x:c r="C39" s="66" t="str">
        <x:v>PATCH /booking/{{bookingId}}</x:v>
      </x:c>
      <x:c r="D39" s="66" t="str">
        <x:v>Частичное обновление только checkout</x:v>
      </x:c>
      <x:c r="E39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39" s="66" t="str">
        <x:v>{"bookingdates":{"checkout":"2032-02-02"}}</x:v>
      </x:c>
      <x:c r="G39" s="66" t="str">
        <x:v>200; checkout изменен; неуказанный checkin остается 2031-01-01.</x:v>
      </x:c>
      <x:c r="H39" s="66" t="str">
        <x:v>200; Content-Type: application/json; charset=utf-8; Body: {"firstname":"CodexPatched","lastname":"ProbePatch","totalprice":321,"depositpaid":true,"bookingdates":{"checkin":"0NaN-aN-aN","checkout":"2032-02-02"},"additionalneeds":"Breakfast"}</x:v>
      </x:c>
      <x:c r="I39" s="72" t="str">
        <x:v>Failed</x:v>
      </x:c>
      <x:c r="J39" s="72" t="str">
        <x:v>P1</x:v>
      </x:c>
      <x:c r="K39" s="66" t="str">
        <x:v>TC-PATCH-002 — Частичное обновление только checkout</x:v>
      </x:c>
      <x:c r="L39" s="66" t="str">
        <x:v>https://restful-booker.herokuapp.com/apidoc/api_data.json</x:v>
      </x:c>
    </x:row>
    <x:row r="40" ht="70" customHeight="1">
      <x:c r="A40" s="69" t="str">
        <x:v>TC-PATCH-003</x:v>
      </x:c>
      <x:c r="B40" s="66" t="str">
        <x:v>Позитивный</x:v>
      </x:c>
      <x:c r="C40" s="66" t="str">
        <x:v>PATCH /booking/{{bookingId}}</x:v>
      </x:c>
      <x:c r="D40" s="66" t="str">
        <x:v>PATCH с Basic Auth</x:v>
      </x:c>
      <x:c r="E40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40" s="66" t="str">
        <x:v>{"lastname":"BasicPatched"}</x:v>
      </x:c>
      <x:c r="G40" s="66" t="str">
        <x:v>200; lastname изменен.</x:v>
      </x:c>
      <x:c r="H40" s="66" t="str">
        <x:v>200; Content-Type: application/json; charset=utf-8; Body: {"firstname":"CodexPatched","lastname":"BasicPatched","totalprice":321,"depositpaid":true,"bookingdates":{"checkin":"0NaN-aN-aN","checkout":"2032-02-02"},"additionalneeds":"Breakfast"}</x:v>
      </x:c>
      <x:c r="I40" s="72" t="str">
        <x:v>Passed</x:v>
      </x:c>
      <x:c r="J40" s="72" t="str">
        <x:v>P1</x:v>
      </x:c>
      <x:c r="K40" s="66" t="str">
        <x:v>TC-PATCH-003 — PATCH с Basic Auth</x:v>
      </x:c>
      <x:c r="L40" s="66" t="str">
        <x:v>https://restful-booker.herokuapp.com/apidoc/api_data.json</x:v>
      </x:c>
    </x:row>
    <x:row r="41" ht="70" customHeight="1">
      <x:c r="A41" s="69" t="str">
        <x:v>TC-PATCH-004</x:v>
      </x:c>
      <x:c r="B41" s="66" t="str">
        <x:v>Негативный</x:v>
      </x:c>
      <x:c r="C41" s="66" t="str">
        <x:v>PATCH /booking/{{bookingId}}</x:v>
      </x:c>
      <x:c r="D41" s="66" t="str">
        <x:v>PATCH без авторизации</x:v>
      </x:c>
      <x:c r="E41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41" s="66" t="str">
        <x:v>—</x:v>
      </x:c>
      <x:c r="G41" s="66" t="str">
        <x:v>403 Forbidden.</x:v>
      </x:c>
      <x:c r="H41" s="66" t="str">
        <x:v>403; Content-Type: text/plain; charset=utf-8; Body: Forbidden</x:v>
      </x:c>
      <x:c r="I41" s="72" t="str">
        <x:v>Passed</x:v>
      </x:c>
      <x:c r="J41" s="72" t="str">
        <x:v>P1</x:v>
      </x:c>
      <x:c r="K41" s="66" t="str">
        <x:v>TC-PATCH-004 — PATCH без авторизации</x:v>
      </x:c>
      <x:c r="L41" s="66" t="str">
        <x:v>https://restful-booker.herokuapp.com/apidoc/api_data.json
https://www.rfc-editor.org/rfc/rfc9110.html#name-403-forbidden</x:v>
      </x:c>
    </x:row>
    <x:row r="42" ht="70" customHeight="1">
      <x:c r="A42" s="69" t="str">
        <x:v>TC-PATCH-005</x:v>
      </x:c>
      <x:c r="B42" s="66" t="str">
        <x:v>Негативный</x:v>
      </x:c>
      <x:c r="C42" s="66" t="str">
        <x:v>PATCH /booking/{{bookingId}}</x:v>
      </x:c>
      <x:c r="D42" s="66" t="str">
        <x:v>PATCH с невалидным token</x:v>
      </x:c>
      <x:c r="E42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42" s="66" t="str">
        <x:v>—</x:v>
      </x:c>
      <x:c r="G42" s="66" t="str">
        <x:v>403 Forbidden.</x:v>
      </x:c>
      <x:c r="H42" s="66" t="str">
        <x:v>403; Content-Type: text/plain; charset=utf-8; Body: Forbidden</x:v>
      </x:c>
      <x:c r="I42" s="72" t="str">
        <x:v>Passed</x:v>
      </x:c>
      <x:c r="J42" s="72" t="str">
        <x:v>P1</x:v>
      </x:c>
      <x:c r="K42" s="66" t="str">
        <x:v>TC-PATCH-005 — PATCH с невалидным token</x:v>
      </x:c>
      <x:c r="L42" s="66" t="str">
        <x:v>https://restful-booker.herokuapp.com/apidoc/api_data.json
https://www.rfc-editor.org/rfc/rfc9110.html#name-403-forbidden</x:v>
      </x:c>
    </x:row>
    <x:row r="43" ht="70" customHeight="1">
      <x:c r="A43" s="69" t="str">
        <x:v>TC-PATCH-006</x:v>
      </x:c>
      <x:c r="B43" s="66" t="str">
        <x:v>Негативный</x:v>
      </x:c>
      <x:c r="C43" s="66" t="str">
        <x:v>PATCH /booking/{{bookingId}}</x:v>
      </x:c>
      <x:c r="D43" s="66" t="str">
        <x:v>PATCH со строкой вместо totalprice</x:v>
      </x:c>
      <x:c r="E43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43" s="66" t="str">
        <x:v>{"totalprice":"not-a-number"}</x:v>
      </x:c>
      <x:c r="G43" s="66" t="str">
        <x:v>400 Bad Request; totalprice не становится null.</x:v>
      </x:c>
      <x:c r="H43" s="66" t="str">
        <x:v>200; Content-Type: application/json; charset=utf-8; Body: {"firstname":"CodexPatched","lastname":"BasicPatched","totalprice":null,"depositpaid":true,"bookingdates":{"checkin":"0NaN-aN-aN","checkout":"2032-02-02"},"additionalneeds":"Breakfast"}</x:v>
      </x:c>
      <x:c r="I43" s="72" t="str">
        <x:v>Failed</x:v>
      </x:c>
      <x:c r="J43" s="72" t="str">
        <x:v>P1</x:v>
      </x:c>
      <x:c r="K43" s="66" t="str">
        <x:v>TC-PATCH-006 — PATCH со строкой вместо totalprice</x:v>
      </x:c>
      <x:c r="L43" s="66" t="str">
        <x:v>https://restful-booker.herokuapp.com/apidoc/api_data.json
https://www.rfc-editor.org/rfc/rfc9110.html#name-400-bad-request</x:v>
      </x:c>
    </x:row>
    <x:row r="44" ht="70" customHeight="1">
      <x:c r="A44" s="69" t="str">
        <x:v>TC-PATCH-007</x:v>
      </x:c>
      <x:c r="B44" s="66" t="str">
        <x:v>Негативный</x:v>
      </x:c>
      <x:c r="C44" s="66" t="str">
        <x:v>PATCH /booking/999999999</x:v>
      </x:c>
      <x:c r="D44" s="66" t="str">
        <x:v>PATCH несуществующего бронирования</x:v>
      </x:c>
      <x:c r="E44" s="66" t="str">
        <x:v>Сервис доступен; коллекция выполняется по порядку.
Отправить PATCH /booking/999999999; проверить статус, заголовки и тело ответа.</x:v>
      </x:c>
      <x:c r="F44" s="66" t="str">
        <x:v>—</x:v>
      </x:c>
      <x:c r="G44" s="66" t="str">
        <x:v>404 Not Found.</x:v>
      </x:c>
      <x:c r="H44" s="66" t="str">
        <x:v>405; Content-Type: text/plain; charset=utf-8; Body: Method Not Allowed</x:v>
      </x:c>
      <x:c r="I44" s="72" t="str">
        <x:v>Failed</x:v>
      </x:c>
      <x:c r="J44" s="72" t="str">
        <x:v>P1</x:v>
      </x:c>
      <x:c r="K44" s="66" t="str">
        <x:v>TC-PATCH-007 — PATCH несуществующего бронирования</x:v>
      </x:c>
      <x:c r="L44" s="66" t="str">
        <x:v>https://restful-booker.herokuapp.com/apidoc/api_data.json
https://www.rfc-editor.org/rfc/rfc9110.html#name-404-not-found
https://www.rfc-editor.org/rfc/rfc9110.html#name-405-method-not-allowed</x:v>
      </x:c>
    </x:row>
    <x:row r="45" ht="70" customHeight="1">
      <x:c r="A45" s="69" t="str">
        <x:v>TC-PATCH-008</x:v>
      </x:c>
      <x:c r="B45" s="66" t="str">
        <x:v>Позитивный</x:v>
      </x:c>
      <x:c r="C45" s="66" t="str">
        <x:v>PATCH /booking/{{bookingId}}</x:v>
      </x:c>
      <x:c r="D45" s="66" t="str">
        <x:v>PATCH с пустым JSON-объектом</x:v>
      </x:c>
      <x:c r="E45" s="66" t="str">
        <x:v>Сервис доступен; коллекция выполняется по порядку.
Отправить PATCH /booking/{{bookingId}}; проверить статус, заголовки и тело ответа.</x:v>
      </x:c>
      <x:c r="F45" s="66" t="str">
        <x:v>{}</x:v>
      </x:c>
      <x:c r="G45" s="66" t="str">
        <x:v>200; текущая структура записи возвращена без удаления полей.</x:v>
      </x:c>
      <x:c r="H45" s="66" t="str">
        <x:v>200; Content-Type: application/json; charset=utf-8; Body: {"firstname":"CodexPatched","lastname":"BasicPatched","totalprice":null,"depositpaid":true,"bookingdates":{"checkin":"0NaN-aN-aN","checkout":"2032-02-02"},"additionalneeds":"Breakfast"}</x:v>
      </x:c>
      <x:c r="I45" s="72" t="str">
        <x:v>Passed</x:v>
      </x:c>
      <x:c r="J45" s="72" t="str">
        <x:v>P1</x:v>
      </x:c>
      <x:c r="K45" s="66" t="str">
        <x:v>TC-PATCH-008 — PATCH с пустым JSON-объектом</x:v>
      </x:c>
      <x:c r="L45" s="66" t="str">
        <x:v>https://restful-booker.herokuapp.com/apidoc/api_data.json</x:v>
      </x:c>
    </x:row>
    <x:row r="46" ht="70" customHeight="1">
      <x:c r="A46" s="69" t="str">
        <x:v>TC-DEL-001</x:v>
      </x:c>
      <x:c r="B46" s="66" t="str">
        <x:v>Негативный</x:v>
      </x:c>
      <x:c r="C46" s="66" t="str">
        <x:v>DELETE /booking/{{bookingId}}</x:v>
      </x:c>
      <x:c r="D46" s="66" t="str">
        <x:v>DELETE без авторизации</x:v>
      </x:c>
      <x:c r="E46" s="66" t="str">
        <x:v>Сервис доступен; коллекция выполняется по порядку.
Отправить DELETE /booking/{{bookingId}}; проверить статус, заголовки и тело ответа.</x:v>
      </x:c>
      <x:c r="F46" s="66" t="str">
        <x:v>—</x:v>
      </x:c>
      <x:c r="G46" s="66" t="str">
        <x:v>403 Forbidden; запись остается доступной.</x:v>
      </x:c>
      <x:c r="H46" s="66" t="str">
        <x:v>403; Content-Type: text/plain; charset=utf-8; Body: Forbidden</x:v>
      </x:c>
      <x:c r="I46" s="72" t="str">
        <x:v>Passed</x:v>
      </x:c>
      <x:c r="J46" s="72" t="str">
        <x:v>P1</x:v>
      </x:c>
      <x:c r="K46" s="66" t="str">
        <x:v>TC-DEL-001 — DELETE без авторизации</x:v>
      </x:c>
      <x:c r="L46" s="66" t="str">
        <x:v>https://restful-booker.herokuapp.com/apidoc/api_data.json
https://www.rfc-editor.org/rfc/rfc9110.html#name-403-forbidden</x:v>
      </x:c>
    </x:row>
    <x:row r="47" ht="70" customHeight="1">
      <x:c r="A47" s="69" t="str">
        <x:v>TC-DEL-002</x:v>
      </x:c>
      <x:c r="B47" s="66" t="str">
        <x:v>Негативный</x:v>
      </x:c>
      <x:c r="C47" s="66" t="str">
        <x:v>DELETE /booking/{{bookingId}}</x:v>
      </x:c>
      <x:c r="D47" s="66" t="str">
        <x:v>DELETE с невалидным token</x:v>
      </x:c>
      <x:c r="E47" s="66" t="str">
        <x:v>Сервис доступен; коллекция выполняется по порядку.
Отправить DELETE /booking/{{bookingId}}; проверить статус, заголовки и тело ответа.</x:v>
      </x:c>
      <x:c r="F47" s="66" t="str">
        <x:v>—</x:v>
      </x:c>
      <x:c r="G47" s="66" t="str">
        <x:v>403 Forbidden; запись остается доступной.</x:v>
      </x:c>
      <x:c r="H47" s="66" t="str">
        <x:v>403; Content-Type: text/plain; charset=utf-8; Body: Forbidden</x:v>
      </x:c>
      <x:c r="I47" s="72" t="str">
        <x:v>Passed</x:v>
      </x:c>
      <x:c r="J47" s="72" t="str">
        <x:v>P1</x:v>
      </x:c>
      <x:c r="K47" s="66" t="str">
        <x:v>TC-DEL-002 — DELETE с невалидным token</x:v>
      </x:c>
      <x:c r="L47" s="66" t="str">
        <x:v>https://restful-booker.herokuapp.com/apidoc/api_data.json
https://www.rfc-editor.org/rfc/rfc9110.html#name-403-forbidden</x:v>
      </x:c>
    </x:row>
    <x:row r="48" ht="70" customHeight="1">
      <x:c r="A48" s="69" t="str">
        <x:v>TC-DEL-003</x:v>
      </x:c>
      <x:c r="B48" s="66" t="str">
        <x:v>Позитивный</x:v>
      </x:c>
      <x:c r="C48" s="66" t="str">
        <x:v>DELETE /booking/{{bookingId}}</x:v>
      </x:c>
      <x:c r="D48" s="66" t="str">
        <x:v>DELETE с Cookie token</x:v>
      </x:c>
      <x:c r="E48" s="66" t="str">
        <x:v>Сервис доступен; коллекция выполняется по порядку.
Отправить DELETE /booking/{{bookingId}}; проверить статус, заголовки и тело ответа.</x:v>
      </x:c>
      <x:c r="F48" s="66" t="str">
        <x:v>—</x:v>
      </x:c>
      <x:c r="G48" s="66" t="str">
        <x:v>Успех удаления: 204 без тела либо 200 с представлением результата; не 201 Created.</x:v>
      </x:c>
      <x:c r="H48" s="66" t="str">
        <x:v>201; Content-Type: text/plain; charset=utf-8; Body: Created</x:v>
      </x:c>
      <x:c r="I48" s="72" t="str">
        <x:v>Failed</x:v>
      </x:c>
      <x:c r="J48" s="72" t="str">
        <x:v>P0</x:v>
      </x:c>
      <x:c r="K48" s="66" t="str">
        <x:v>TC-DEL-003 — DELETE с Cookie token</x:v>
      </x:c>
      <x:c r="L48" s="66" t="str">
        <x:v>https://restful-booker.herokuapp.com/apidoc/api_data.json
https://www.rfc-editor.org/rfc/rfc9110.html#name-delete
https://www.rfc-editor.org/rfc/rfc9110.html#name-201-created</x:v>
      </x:c>
    </x:row>
    <x:row r="49" ht="70" customHeight="1">
      <x:c r="A49" s="69" t="str">
        <x:v>TC-DEL-004</x:v>
      </x:c>
      <x:c r="B49" s="66" t="str">
        <x:v>Позитивный</x:v>
      </x:c>
      <x:c r="C49" s="66" t="str">
        <x:v>GET /booking/{{bookingId}}</x:v>
      </x:c>
      <x:c r="D49" s="66" t="str">
        <x:v>Проверка удаления через GET</x:v>
      </x:c>
      <x:c r="E49" s="66" t="str">
        <x:v>Сервис доступен; коллекция выполняется по порядку.
Отправить GET /booking/{{bookingId}}; проверить статус, заголовки и тело ответа.</x:v>
      </x:c>
      <x:c r="F49" s="66" t="str">
        <x:v>—</x:v>
      </x:c>
      <x:c r="G49" s="66" t="str">
        <x:v>404 Not Found.</x:v>
      </x:c>
      <x:c r="H49" s="66" t="str">
        <x:v>404; Content-Type: text/plain; charset=utf-8; Body: Not Found</x:v>
      </x:c>
      <x:c r="I49" s="72" t="str">
        <x:v>Passed</x:v>
      </x:c>
      <x:c r="J49" s="72" t="str">
        <x:v>P0</x:v>
      </x:c>
      <x:c r="K49" s="66" t="str">
        <x:v>TC-DEL-004 — Проверка удаления через GET</x:v>
      </x:c>
      <x:c r="L49" s="66" t="str">
        <x:v>https://restful-booker.herokuapp.com/apidoc/api_data.json
https://www.rfc-editor.org/rfc/rfc9110.html#name-404-not-found</x:v>
      </x:c>
    </x:row>
    <x:row r="50" ht="70" customHeight="1">
      <x:c r="A50" s="69" t="str">
        <x:v>TC-DEL-005</x:v>
      </x:c>
      <x:c r="B50" s="66" t="str">
        <x:v>Негативный</x:v>
      </x:c>
      <x:c r="C50" s="66" t="str">
        <x:v>DELETE /booking/{{bookingId}}</x:v>
      </x:c>
      <x:c r="D50" s="66" t="str">
        <x:v>Повторный DELETE</x:v>
      </x:c>
      <x:c r="E50" s="66" t="str">
        <x:v>Сервис доступен; коллекция выполняется по порядку.
Отправить DELETE /booking/{{bookingId}}; проверить статус, заголовки и тело ответа.</x:v>
      </x:c>
      <x:c r="F50" s="66" t="str">
        <x:v>—</x:v>
      </x:c>
      <x:c r="G50" s="66" t="str">
        <x:v>404 Not Found.</x:v>
      </x:c>
      <x:c r="H50" s="66" t="str">
        <x:v>405; Content-Type: text/plain; charset=utf-8; Body: Method Not Allowed</x:v>
      </x:c>
      <x:c r="I50" s="72" t="str">
        <x:v>Failed</x:v>
      </x:c>
      <x:c r="J50" s="72" t="str">
        <x:v>P1</x:v>
      </x:c>
      <x:c r="K50" s="66" t="str">
        <x:v>TC-DEL-005 — Повторный DELETE</x:v>
      </x:c>
      <x:c r="L50" s="66" t="str">
        <x:v>https://restful-booker.herokuapp.com/apidoc/api_data.json
https://www.rfc-editor.org/rfc/rfc9110.html#name-404-not-found
https://www.rfc-editor.org/rfc/rfc9110.html#name-405-method-not-allowed</x:v>
      </x:c>
    </x:row>
    <x:row r="51" ht="70" customHeight="1">
      <x:c r="A51" s="69" t="str">
        <x:v>TC-DEL-006</x:v>
      </x:c>
      <x:c r="B51" s="66" t="str">
        <x:v>Негативный</x:v>
      </x:c>
      <x:c r="C51" s="66" t="str">
        <x:v>DELETE /booking/999999999</x:v>
      </x:c>
      <x:c r="D51" s="66" t="str">
        <x:v>DELETE несуществующего бронирования</x:v>
      </x:c>
      <x:c r="E51" s="66" t="str">
        <x:v>Сервис доступен; коллекция выполняется по порядку.
Отправить DELETE /booking/999999999; проверить статус, заголовки и тело ответа.</x:v>
      </x:c>
      <x:c r="F51" s="66" t="str">
        <x:v>—</x:v>
      </x:c>
      <x:c r="G51" s="66" t="str">
        <x:v>404 Not Found.</x:v>
      </x:c>
      <x:c r="H51" s="66" t="str">
        <x:v>405; Content-Type: text/plain; charset=utf-8; Body: Method Not Allowed</x:v>
      </x:c>
      <x:c r="I51" s="72" t="str">
        <x:v>Failed</x:v>
      </x:c>
      <x:c r="J51" s="72" t="str">
        <x:v>P1</x:v>
      </x:c>
      <x:c r="K51" s="66" t="str">
        <x:v>TC-DEL-006 — DELETE несуществующего бронирования</x:v>
      </x:c>
      <x:c r="L51" s="66" t="str">
        <x:v>https://restful-booker.herokuapp.com/apidoc/api_data.json
https://www.rfc-editor.org/rfc/rfc9110.html#name-404-not-found
https://www.rfc-editor.org/rfc/rfc9110.html#name-405-method-not-allowed</x:v>
      </x:c>
    </x:row>
    <x:row r="52" ht="70" customHeight="1">
      <x:c r="A52" s="69" t="str">
        <x:v>TC-DEL-007</x:v>
      </x:c>
      <x:c r="B52" s="66" t="str">
        <x:v>Позитивный</x:v>
      </x:c>
      <x:c r="C52" s="66" t="str">
        <x:v>DELETE /booking/{{basicDeleteId}}</x:v>
      </x:c>
      <x:c r="D52" s="66" t="str">
        <x:v>DELETE с Basic Auth</x:v>
      </x:c>
      <x:c r="E52" s="66" t="str">
        <x:v>Сервис доступен; коллекция выполняется по порядку.
Отправить DELETE /booking/{{basicDeleteId}}; проверить статус, заголовки и тело ответа.</x:v>
      </x:c>
      <x:c r="F52" s="66" t="str">
        <x:v>—</x:v>
      </x:c>
      <x:c r="G52" s="66" t="str">
        <x:v>Успех удаления: 204 либо 200; не 201 Created.</x:v>
      </x:c>
      <x:c r="H52" s="66" t="str">
        <x:v>201; Content-Type: text/plain; charset=utf-8; Body: Created</x:v>
      </x:c>
      <x:c r="I52" s="72" t="str">
        <x:v>Failed</x:v>
      </x:c>
      <x:c r="J52" s="72" t="str">
        <x:v>P1</x:v>
      </x:c>
      <x:c r="K52" s="66" t="str">
        <x:v>TC-DEL-007 — DELETE с Basic Auth</x:v>
      </x:c>
      <x:c r="L52" s="66" t="str">
        <x:v>https://restful-booker.herokuapp.com/apidoc/api_data.json
https://www.rfc-editor.org/rfc/rfc9110.html#name-delete
https://www.rfc-editor.org/rfc/rfc9110.html#name-201-created</x:v>
      </x:c>
    </x:row>
    <x:row r="53" ht="70" customHeight="1">
      <x:c r="A53" s="69" t="str">
        <x:v>TC-PING-001</x:v>
      </x:c>
      <x:c r="B53" s="66" t="str">
        <x:v>Позитивный</x:v>
      </x:c>
      <x:c r="C53" s="66" t="str">
        <x:v>GET /ping</x:v>
      </x:c>
      <x:c r="D53" s="66" t="str">
        <x:v>Проверка доступности сервиса</x:v>
      </x:c>
      <x:c r="E53" s="66" t="str">
        <x:v>Сервис доступен; коллекция выполняется по порядку.
Отправить GET /ping; проверить статус, заголовки и тело ответа.</x:v>
      </x:c>
      <x:c r="F53" s="66" t="str">
        <x:v>—</x:v>
      </x:c>
      <x:c r="G53" s="66" t="str">
        <x:v>200 OK; успешная проверка без создания ресурса.</x:v>
      </x:c>
      <x:c r="H53" s="66" t="str">
        <x:v>201; Content-Type: text/plain; charset=utf-8; Body: Created</x:v>
      </x:c>
      <x:c r="I53" s="72" t="str">
        <x:v>Failed</x:v>
      </x:c>
      <x:c r="J53" s="72" t="str">
        <x:v>P0</x:v>
      </x:c>
      <x:c r="K53" s="66" t="str">
        <x:v>TC-PING-001 — Проверка доступности сервиса</x:v>
      </x:c>
      <x:c r="L53" s="66" t="str">
        <x:v>https://restful-booker.herokuapp.com/apidoc/api_data.json
https://www.rfc-editor.org/rfc/rfc9110.html#name-200-ok
https://www.rfc-editor.org/rfc/rfc9110.html#name-201-created</x:v>
      </x:c>
    </x:row>
    <x:row r="54" ht="70" customHeight="1">
      <x:c r="A54" s="70" t="str">
        <x:v>TC-PING-002</x:v>
      </x:c>
      <x:c r="B54" s="67" t="str">
        <x:v>Негативный</x:v>
      </x:c>
      <x:c r="C54" s="67" t="str">
        <x:v>POST /ping</x:v>
      </x:c>
      <x:c r="D54" s="67" t="str">
        <x:v>Неподдерживаемый метод POST</x:v>
      </x:c>
      <x:c r="E54" s="67" t="str">
        <x:v>Сервис доступен; коллекция выполняется по порядку.
Отправить POST /ping; проверить статус, заголовки и тело ответа.</x:v>
      </x:c>
      <x:c r="F54" s="67" t="str">
        <x:v>—</x:v>
      </x:c>
      <x:c r="G54" s="67" t="str">
        <x:v>404 Not Found для отсутствующего маршрута POST /ping.</x:v>
      </x:c>
      <x:c r="H54" s="67" t="str">
        <x:v>404; Content-Type: text/plain; charset=utf-8; Body: Not Found</x:v>
      </x:c>
      <x:c r="I54" s="73" t="str">
        <x:v>Passed</x:v>
      </x:c>
      <x:c r="J54" s="73" t="str">
        <x:v>P1</x:v>
      </x:c>
      <x:c r="K54" s="67" t="str">
        <x:v>TC-PING-002 — Неподдерживаемый метод POST</x:v>
      </x:c>
      <x:c r="L54" s="67" t="str">
        <x:v>https://restful-booker.herokuapp.com/apidoc/api_data.json
https://www.rfc-editor.org/rfc/rfc9110.html#name-404-not-found</x:v>
      </x:c>
    </x:row>
  </x:sheetData>
  <x:mergeCells>
    <x:mergeCell ref="A1:L1"/>
    <x:mergeCell ref="A2:L2"/>
  </x:mergeCells>
  <x:conditionalFormatting sqref="I5:I54">
    <x:cfRule type="containsText" dxfId="0" priority="1" operator="containsText" text="Passed"/>
    <x:cfRule type="containsText" dxfId="1" priority="2" operator="containsText" text="Failed"/>
  </x:conditionalFormatting>
  <x:conditionalFormatting sqref="B5:B54">
    <x:cfRule type="containsText" dxfId="2" priority="3" operator="containsText" text="Позитивный"/>
    <x:cfRule type="containsText" dxfId="3" priority="4" operator="containsText" text="Негативный"/>
  </x:conditionalFormatting>
  <x:pageMargins left="0.7" right="0.7" top="0.75" bottom="0.75" header="0.3" footer="0.3"/>
  <x:tableParts count="1">
    <x:tablePart xmlns:r="http://schemas.openxmlformats.org/officeDocument/2006/relationships" r:id="R9036386a06994e30"/>
  </x:tableParts>
</x:worksheet>
</file>